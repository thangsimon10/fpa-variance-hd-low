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ct_pnl" sheetId="2" state="visible" r:id="rId4"/>
    <sheet name="dim_company" sheetId="3" state="visible" r:id="rId5"/>
    <sheet name="dim_line" sheetId="4" state="visible" r:id="rId6"/>
    <sheet name="dim_period" sheetId="5" state="visible" r:id="rId7"/>
    <sheet name="dim_scenario" sheetId="6" state="visible" r:id="rId8"/>
    <sheet name="commentary" sheetId="7" state="visible" r:id="rId9"/>
    <sheet name="assumptions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Input: type HD or LOW. Every number below recalculates.</t>
        </r>
      </text>
    </comment>
  </commentList>
</comments>
</file>

<file path=xl/sharedStrings.xml><?xml version="1.0" encoding="utf-8"?>
<sst xmlns="http://schemas.openxmlformats.org/spreadsheetml/2006/main" count="770" uniqueCount="132">
  <si>
    <t xml:space="preserve">FY2026 budget vs actual vs forecast ($M)</t>
  </si>
  <si>
    <t xml:space="preserve">Company (HD or LOW)</t>
  </si>
  <si>
    <t xml:space="preserve">HD</t>
  </si>
  <si>
    <t xml:space="preserve">Favourable variance is positive: more revenue/profit, or lower operating expenses.</t>
  </si>
  <si>
    <t xml:space="preserve">Line</t>
  </si>
  <si>
    <t xml:space="preserve">Budget FY26</t>
  </si>
  <si>
    <t xml:space="preserve">Actual H1</t>
  </si>
  <si>
    <t xml:space="preserve">Forecast H2</t>
  </si>
  <si>
    <t xml:space="preserve">Outlook FY26</t>
  </si>
  <si>
    <t xml:space="preserve">Variance (fav +)</t>
  </si>
  <si>
    <t xml:space="preserve">Var %</t>
  </si>
  <si>
    <t xml:space="preserve">FY25 actual</t>
  </si>
  <si>
    <t xml:space="preserve">Outlook YoY %</t>
  </si>
  <si>
    <t xml:space="preserve">line key</t>
  </si>
  <si>
    <t xml:space="preserve">sign</t>
  </si>
  <si>
    <t xml:space="preserve">Revenue</t>
  </si>
  <si>
    <t xml:space="preserve">revenue</t>
  </si>
  <si>
    <t xml:space="preserve">Gross profit</t>
  </si>
  <si>
    <t xml:space="preserve">gross_profit</t>
  </si>
  <si>
    <t xml:space="preserve">Operating expenses</t>
  </si>
  <si>
    <t xml:space="preserve">opex</t>
  </si>
  <si>
    <t xml:space="preserve">Operating income</t>
  </si>
  <si>
    <t xml:space="preserve">operating_income</t>
  </si>
  <si>
    <t xml:space="preserve">Net income</t>
  </si>
  <si>
    <t xml:space="preserve">net_income</t>
  </si>
  <si>
    <t xml:space="preserve">Gross margin %</t>
  </si>
  <si>
    <t xml:space="preserve">Operating margin %</t>
  </si>
  <si>
    <t xml:space="preserve">Sign column (L) is an input: +1 where more is better, -1 for costs. Source data: SEC XBRL companyfacts; budget and forecast drivers on the 'assumptions' sheet.</t>
  </si>
  <si>
    <t xml:space="preserve">ticker</t>
  </si>
  <si>
    <t xml:space="preserve">period_key</t>
  </si>
  <si>
    <t xml:space="preserve">fiscal_year</t>
  </si>
  <si>
    <t xml:space="preserve">fq</t>
  </si>
  <si>
    <t xml:space="preserve">scenario</t>
  </si>
  <si>
    <t xml:space="preserve">line</t>
  </si>
  <si>
    <t xml:space="preserve">amount_musd</t>
  </si>
  <si>
    <t xml:space="preserve">FY25 Q1</t>
  </si>
  <si>
    <t xml:space="preserve">Actual</t>
  </si>
  <si>
    <t xml:space="preserve">FY25 Q2</t>
  </si>
  <si>
    <t xml:space="preserve">FY25 Q3</t>
  </si>
  <si>
    <t xml:space="preserve">FY25 Q4</t>
  </si>
  <si>
    <t xml:space="preserve">FY26 Q1</t>
  </si>
  <si>
    <t xml:space="preserve">Budget</t>
  </si>
  <si>
    <t xml:space="preserve">Forecast</t>
  </si>
  <si>
    <t xml:space="preserve">FY26 Q2</t>
  </si>
  <si>
    <t xml:space="preserve">FY26 Q3</t>
  </si>
  <si>
    <t xml:space="preserve">FY26 Q4</t>
  </si>
  <si>
    <t xml:space="preserve">LOW</t>
  </si>
  <si>
    <t xml:space="preserve">company</t>
  </si>
  <si>
    <t xml:space="preserve">fiscal_year_end</t>
  </si>
  <si>
    <t xml:space="preserve">fy2025_acquisition</t>
  </si>
  <si>
    <t xml:space="preserve">acquisition_close</t>
  </si>
  <si>
    <t xml:space="preserve">sec_cik</t>
  </si>
  <si>
    <t xml:space="preserve">The Home Depot</t>
  </si>
  <si>
    <t xml:space="preserve">Sunday nearest 31 Jan</t>
  </si>
  <si>
    <t xml:space="preserve">GMS Inc.</t>
  </si>
  <si>
    <t xml:space="preserve">2025-09-04</t>
  </si>
  <si>
    <t xml:space="preserve">0000354950</t>
  </si>
  <si>
    <t xml:space="preserve">Lowe's Companies</t>
  </si>
  <si>
    <t xml:space="preserve">Friday nearest 31 Jan</t>
  </si>
  <si>
    <t xml:space="preserve">Foundation Building Materials</t>
  </si>
  <si>
    <t xml:space="preserve">2025-10-09</t>
  </si>
  <si>
    <t xml:space="preserve">0000060667</t>
  </si>
  <si>
    <t xml:space="preserve">line_label</t>
  </si>
  <si>
    <t xml:space="preserve">line_sort</t>
  </si>
  <si>
    <t xml:space="preserve">quarter</t>
  </si>
  <si>
    <t xml:space="preserve">period_sort</t>
  </si>
  <si>
    <t xml:space="preserve">status</t>
  </si>
  <si>
    <t xml:space="preserve">Q1</t>
  </si>
  <si>
    <t xml:space="preserve">Prior year</t>
  </si>
  <si>
    <t xml:space="preserve">Q2</t>
  </si>
  <si>
    <t xml:space="preserve">Q3</t>
  </si>
  <si>
    <t xml:space="preserve">Q4</t>
  </si>
  <si>
    <t xml:space="preserve">scenario_sort</t>
  </si>
  <si>
    <t xml:space="preserve">rank</t>
  </si>
  <si>
    <t xml:space="preserve">direction</t>
  </si>
  <si>
    <t xml:space="preserve">period</t>
  </si>
  <si>
    <t xml:space="preserve">variance_musd</t>
  </si>
  <si>
    <t xml:space="preserve">explanation</t>
  </si>
  <si>
    <t xml:space="preserve">Favourable</t>
  </si>
  <si>
    <t xml:space="preserve">Q2 revenue beat budget by $1.00B (+2.1%); H1 by $1.51B. Mostly phasing, not outperformance: the budget uses FY2025's quarterly shape, and GMS only joined on 4 Sep 2025, so FY2025's first half had no GMS revenue. Comparable sales were +1.7% in Q2. The full-year revenue outlook is $170.44B, on budget, so the H1 beat is expected to reverse in H2.</t>
  </si>
  <si>
    <t xml:space="preserve">Unfavourable</t>
  </si>
  <si>
    <t xml:space="preserve">FY26 H1</t>
  </si>
  <si>
    <t xml:space="preserve">Opex ran $0.62B over budget in H1 (+3.5%) while revenue was only +1.7% over. Opex grew 7.0% year over year against 5.3% revenue growth, which is consistent with carrying GMS's cost base. It absorbed the whole gross-profit beat: operating income is $0.57B under budget for the year and the operating margin outlook is 12.2%, against 12.5% budget and 12.4-12.6% guidance. Action: hold H2 SG&amp;A growth at or below revenue growth to protect the guided margin.</t>
  </si>
  <si>
    <t xml:space="preserve">Q4 revenue is forecast $0.95B below budget. This is the mirror image of the H1 phasing: the FY2025 Q4 base already includes GMS, so growth falls to the +1% comp driver. Treat H1 and Q4 together, not as separate surprises.</t>
  </si>
  <si>
    <t xml:space="preserve">Q1 revenue beat budget by $0.52B (+2.3%). FBM closed on 9 Oct 2025, so it is in FY2026 Q1 but absent from the FY2025 Q1 base the budget was phased on. Underlying demand is soft: comparable sales were +0.2% in Q2.</t>
  </si>
  <si>
    <t xml:space="preserve">Q4 revenue is forecast $1.60B below budget, the largest variance in the model. The $93.0B budget needed about +6% H2 growth; with FBM fully in the FY2025 Q4 base and comp guidance cut to flat, the forecast H2 growth is +2.9%. Full-year outlook is $91.64B ($1.36B under budget), close to Lowe's own lowered $92.0B outlook (19 Aug 2026). Action: rebase the H2 budget to the updated outlook.</t>
  </si>
  <si>
    <t xml:space="preserve">Q2 gross margin was 33.0% against 33.8% budget ($0.15B). A lower-margin mix from pro distribution businesses is a plausible driver but is not disclosed separately. Carried into H2, gross profit is $1.11B under budget and the operating margin outlook is 11.0% against 11.3% budget. The 'favourable' opex in H2 is a derived-line effect of lower revenue, not cost savings.</t>
  </si>
  <si>
    <t xml:space="preserve">driver</t>
  </si>
  <si>
    <t xml:space="preserve">source</t>
  </si>
  <si>
    <t xml:space="preserve">Budget revenue</t>
  </si>
  <si>
    <t xml:space="preserve">+3.5% on FY2025 (midpoint of 2.5-4.5%)</t>
  </si>
  <si>
    <t xml:space="preserve">$93.0B (midpoint of $92.0-94.0B)</t>
  </si>
  <si>
    <t xml:space="preserve">Company FY2026 guidance, 24/25 Feb 2026</t>
  </si>
  <si>
    <t xml:space="preserve">Budget gross margin</t>
  </si>
  <si>
    <t xml:space="preserve">33.1% (guided)</t>
  </si>
  <si>
    <t xml:space="preserve">33.5% = FY2025 actual (not guided)</t>
  </si>
  <si>
    <t xml:space="preserve">HD guidance; LOW analyst assumption</t>
  </si>
  <si>
    <t xml:space="preserve">Budget operating margin (GAAP)</t>
  </si>
  <si>
    <t xml:space="preserve">12.5% (midpoint 12.4-12.6%)</t>
  </si>
  <si>
    <t xml:space="preserve">11.3% (midpoint 11.2-11.4%)</t>
  </si>
  <si>
    <t xml:space="preserve">Company guidance</t>
  </si>
  <si>
    <t xml:space="preserve">Net interest</t>
  </si>
  <si>
    <t xml:space="preserve">$2.3B, 1/4 per quarter</t>
  </si>
  <si>
    <t xml:space="preserve">$1.6B, 1/4 per quarter</t>
  </si>
  <si>
    <t xml:space="preserve">Tax rate</t>
  </si>
  <si>
    <t xml:space="preserve">24.3%</t>
  </si>
  <si>
    <t xml:space="preserve">24.5%</t>
  </si>
  <si>
    <t xml:space="preserve">Quarterly phasing</t>
  </si>
  <si>
    <t xml:space="preserve">FY2025 quarter shares</t>
  </si>
  <si>
    <t xml:space="preserve">Known limitation: acquisitions closed mid-FY2025, so H1 is under-phased</t>
  </si>
  <si>
    <t xml:space="preserve">Forecast comp driver (Q3-Q4)</t>
  </si>
  <si>
    <t xml:space="preserve">+1.0% (flat to +2.0%, reaffirmed 18 Aug 2026)</t>
  </si>
  <si>
    <t xml:space="preserve">0.0% (cut to flat, 19 Aug 2026)</t>
  </si>
  <si>
    <t xml:space="preserve">Q2 FY2026 releases</t>
  </si>
  <si>
    <t xml:space="preserve">Q3 acquisition stub</t>
  </si>
  <si>
    <t xml:space="preserve">GMS $5,513.7M x 31/365 = $468M</t>
  </si>
  <si>
    <t xml:space="preserve">FBM ~$6.5B x 68/365 = $1,211M</t>
  </si>
  <si>
    <t xml:space="preserve">GMS FY2025 release (18 Jun 2025); FBM pro forma revenue per MDM</t>
  </si>
  <si>
    <t xml:space="preserve">Forecast margins</t>
  </si>
  <si>
    <t xml:space="preserve">Budget quarter margin + H1 gap (conservative)</t>
  </si>
  <si>
    <t xml:space="preserve">Analyst assumption</t>
  </si>
  <si>
    <t xml:space="preserve">Grain</t>
  </si>
  <si>
    <t xml:space="preserve">Quarterly</t>
  </si>
  <si>
    <t xml:space="preserve">Public filings are quarterly; monthly splits would be fabricated</t>
  </si>
  <si>
    <t xml:space="preserve">check_name</t>
  </si>
  <si>
    <t xml:space="preserve">pass</t>
  </si>
  <si>
    <t xml:space="preserve">Budget op margin = guided op margin</t>
  </si>
  <si>
    <t xml:space="preserve">Budget revenue ties to guided FY revenue</t>
  </si>
  <si>
    <t xml:space="preserve">Every 2026 quarter has budget and forecast for all 5 lines</t>
  </si>
  <si>
    <t xml:space="preserve">FY2025 quarters sum to 10-K full year (within $5M rounding)</t>
  </si>
  <si>
    <t xml:space="preserve">Forecast Q1-Q2 equals actual</t>
  </si>
  <si>
    <t xml:space="preserve">Opex = gross profit - operating income, all scenarios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</si>
</sst>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#,##0&quot; bps&quot;;\(#,##0&quot; bps)&quot;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9878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9878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ssumptions" displayName="tbl_assumptions" ref="A1:D11" headerRowCount="1" totalsRowCount="0" totalsRowShown="0">
  <autoFilter ref="A1:D11"/>
  <tableColumns count="4">
    <tableColumn id="1" name="driver"/>
    <tableColumn id="2" name="HD"/>
    <tableColumn id="3" name="LOW"/>
    <tableColumn id="4" name="source"/>
  </tableColumns>
</table>
</file>

<file path=xl/tables/table2.xml><?xml version="1.0" encoding="utf-8"?>
<table xmlns="http://schemas.openxmlformats.org/spreadsheetml/2006/main" id="2" name="tbl_checks" displayName="tbl_checks" ref="A1:C13" headerRowCount="1" totalsRowCount="0" totalsRowShown="0">
  <autoFilter ref="A1:C13"/>
  <tableColumns count="3">
    <tableColumn id="1" name="check_name"/>
    <tableColumn id="2" name="ticker"/>
    <tableColumn id="3" name="pass"/>
  </tableColumns>
</table>
</file>

<file path=xl/tables/table3.xml><?xml version="1.0" encoding="utf-8"?>
<table xmlns="http://schemas.openxmlformats.org/spreadsheetml/2006/main" id="3" name="tbl_commentary" displayName="tbl_commentary" ref="A1:G7" headerRowCount="1" totalsRowCount="0" totalsRowShown="0">
  <autoFilter ref="A1:G7"/>
  <tableColumns count="7">
    <tableColumn id="1" name="ticker"/>
    <tableColumn id="2" name="rank"/>
    <tableColumn id="3" name="direction"/>
    <tableColumn id="4" name="line_label"/>
    <tableColumn id="5" name="period"/>
    <tableColumn id="6" name="variance_musd"/>
    <tableColumn id="7" name="explanation"/>
  </tableColumns>
</table>
</file>

<file path=xl/tables/table4.xml><?xml version="1.0" encoding="utf-8"?>
<table xmlns="http://schemas.openxmlformats.org/spreadsheetml/2006/main" id="4" name="tbl_dim_company" displayName="tbl_dim_company" ref="A1:F3" headerRowCount="1" totalsRowCount="0" totalsRowShown="0">
  <autoFilter ref="A1:F3"/>
  <tableColumns count="6">
    <tableColumn id="1" name="ticker"/>
    <tableColumn id="2" name="company"/>
    <tableColumn id="3" name="fiscal_year_end"/>
    <tableColumn id="4" name="fy2025_acquisition"/>
    <tableColumn id="5" name="acquisition_close"/>
    <tableColumn id="6" name="sec_cik"/>
  </tableColumns>
</table>
</file>

<file path=xl/tables/table5.xml><?xml version="1.0" encoding="utf-8"?>
<table xmlns="http://schemas.openxmlformats.org/spreadsheetml/2006/main" id="5" name="tbl_dim_line" displayName="tbl_dim_line" ref="A1:D6" headerRowCount="1" totalsRowCount="0" totalsRowShown="0">
  <autoFilter ref="A1:D6"/>
  <tableColumns count="4">
    <tableColumn id="1" name="line"/>
    <tableColumn id="2" name="line_label"/>
    <tableColumn id="3" name="line_sort"/>
    <tableColumn id="4" name="sign"/>
  </tableColumns>
</table>
</file>

<file path=xl/tables/table6.xml><?xml version="1.0" encoding="utf-8"?>
<table xmlns="http://schemas.openxmlformats.org/spreadsheetml/2006/main" id="6" name="tbl_dim_period" displayName="tbl_dim_period" ref="A1:F9" headerRowCount="1" totalsRowCount="0" totalsRowShown="0">
  <autoFilter ref="A1:F9"/>
  <tableColumns count="6">
    <tableColumn id="1" name="period_key"/>
    <tableColumn id="2" name="fiscal_year"/>
    <tableColumn id="3" name="fq"/>
    <tableColumn id="4" name="quarter"/>
    <tableColumn id="5" name="period_sort"/>
    <tableColumn id="6" name="status"/>
  </tableColumns>
</table>
</file>

<file path=xl/tables/table7.xml><?xml version="1.0" encoding="utf-8"?>
<table xmlns="http://schemas.openxmlformats.org/spreadsheetml/2006/main" id="7" name="tbl_dim_scenario" displayName="tbl_dim_scenario" ref="A1:B4" headerRowCount="1" totalsRowCount="0" totalsRowShown="0">
  <autoFilter ref="A1:B4"/>
  <tableColumns count="2">
    <tableColumn id="1" name="scenario"/>
    <tableColumn id="2" name="scenario_sort"/>
  </tableColumns>
</table>
</file>

<file path=xl/tables/table8.xml><?xml version="1.0" encoding="utf-8"?>
<table xmlns="http://schemas.openxmlformats.org/spreadsheetml/2006/main" id="8" name="tbl_fact_pnl" displayName="tbl_fact_pnl" ref="A1:G141" headerRowCount="1" totalsRowCount="0" totalsRowShown="0">
  <autoFilter ref="A1:G141"/>
  <tableColumns count="7">
    <tableColumn id="1" name="ticker"/>
    <tableColumn id="2" name="period_key"/>
    <tableColumn id="3" name="fiscal_year"/>
    <tableColumn id="4" name="fq"/>
    <tableColumn id="5" name="scenario"/>
    <tableColumn id="6" name="line"/>
    <tableColumn id="7" name="amount_m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4" t="s">
        <v>3</v>
      </c>
    </row>
    <row r="5" customFormat="false" ht="31.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K5" s="6" t="s">
        <v>13</v>
      </c>
      <c r="L5" s="6" t="s">
        <v>14</v>
      </c>
    </row>
    <row r="6" customFormat="false" ht="15" hidden="false" customHeight="false" outlineLevel="0" collapsed="false">
      <c r="A6" s="2" t="s">
        <v>15</v>
      </c>
      <c r="B6" s="7" t="n">
        <f aca="false">SUMIFS(fact_pnl!$G$2:$G$141,fact_pnl!$A$2:$A$141,$B$2,fact_pnl!$E$2:$E$141,"Budget",fact_pnl!$C$2:$C$141,2026,fact_pnl!$F$2:$F$141,$K6)</f>
        <v>170446.9</v>
      </c>
      <c r="C6" s="7" t="n">
        <f aca="false">SUMIFS(fact_pnl!$G$2:$G$141,fact_pnl!$A$2:$A$141,$B$2,fact_pnl!$E$2:$E$141,"Actual",fact_pnl!$C$2:$C$141,2026,fact_pnl!$F$2:$F$141,$K6,fact_pnl!$D$2:$D$141,"&lt;=2")</f>
        <v>89626</v>
      </c>
      <c r="D6" s="7" t="n">
        <f aca="false">SUMIFS(fact_pnl!$G$2:$G$141,fact_pnl!$A$2:$A$141,$B$2,fact_pnl!$E$2:$E$141,"Forecast",fact_pnl!$C$2:$C$141,2026,fact_pnl!$F$2:$F$141,$K6,fact_pnl!$D$2:$D$141,"&gt;=3")</f>
        <v>80813.8</v>
      </c>
      <c r="E6" s="7" t="n">
        <f aca="false">C6+D6</f>
        <v>170439.8</v>
      </c>
      <c r="F6" s="7" t="n">
        <f aca="false">(E6-B6)*$L6</f>
        <v>-7.10000000000582</v>
      </c>
      <c r="G6" s="8" t="n">
        <f aca="false">IF(B6=0,0,F6/B6)</f>
        <v>-4.16552017080148E-005</v>
      </c>
      <c r="H6" s="7" t="n">
        <f aca="false">SUMIFS(fact_pnl!$G$2:$G$141,fact_pnl!$A$2:$A$141,$B$2,fact_pnl!$E$2:$E$141,"Actual",fact_pnl!$C$2:$C$141,2025,fact_pnl!$F$2:$F$141,$K6)</f>
        <v>164683</v>
      </c>
      <c r="I6" s="8" t="n">
        <f aca="false">IF(H6=0,0,E6/H6-1)</f>
        <v>0.034956856506136</v>
      </c>
      <c r="K6" s="6" t="s">
        <v>16</v>
      </c>
      <c r="L6" s="9" t="n">
        <v>1</v>
      </c>
    </row>
    <row r="7" customFormat="false" ht="15" hidden="false" customHeight="false" outlineLevel="0" collapsed="false">
      <c r="A7" s="2" t="s">
        <v>17</v>
      </c>
      <c r="B7" s="7" t="n">
        <f aca="false">SUMIFS(fact_pnl!$G$2:$G$141,fact_pnl!$A$2:$A$141,$B$2,fact_pnl!$E$2:$E$141,"Budget",fact_pnl!$C$2:$C$141,2026,fact_pnl!$F$2:$F$141,$K7)</f>
        <v>56418</v>
      </c>
      <c r="C7" s="7" t="n">
        <f aca="false">SUMIFS(fact_pnl!$G$2:$G$141,fact_pnl!$A$2:$A$141,$B$2,fact_pnl!$E$2:$E$141,"Actual",fact_pnl!$C$2:$C$141,2026,fact_pnl!$F$2:$F$141,$K7,fact_pnl!$D$2:$D$141,"&lt;=2")</f>
        <v>29896</v>
      </c>
      <c r="D7" s="7" t="n">
        <f aca="false">SUMIFS(fact_pnl!$G$2:$G$141,fact_pnl!$A$2:$A$141,$B$2,fact_pnl!$E$2:$E$141,"Forecast",fact_pnl!$C$2:$C$141,2026,fact_pnl!$F$2:$F$141,$K7,fact_pnl!$D$2:$D$141,"&gt;=3")</f>
        <v>26523.1</v>
      </c>
      <c r="E7" s="7" t="n">
        <f aca="false">C7+D7</f>
        <v>56419.1</v>
      </c>
      <c r="F7" s="7" t="n">
        <f aca="false">(E7-B7)*$L7</f>
        <v>1.09999999999854</v>
      </c>
      <c r="G7" s="8" t="n">
        <f aca="false">IF(B7=0,0,F7/B7)</f>
        <v>1.94973235491961E-005</v>
      </c>
      <c r="H7" s="7" t="n">
        <f aca="false">SUMIFS(fact_pnl!$G$2:$G$141,fact_pnl!$A$2:$A$141,$B$2,fact_pnl!$E$2:$E$141,"Actual",fact_pnl!$C$2:$C$141,2025,fact_pnl!$F$2:$F$141,$K7)</f>
        <v>54865</v>
      </c>
      <c r="I7" s="8" t="n">
        <f aca="false">IF(H7=0,0,E7/H7-1)</f>
        <v>0.0283258908229289</v>
      </c>
      <c r="K7" s="6" t="s">
        <v>18</v>
      </c>
      <c r="L7" s="9" t="n">
        <v>1</v>
      </c>
    </row>
    <row r="8" customFormat="false" ht="15" hidden="false" customHeight="false" outlineLevel="0" collapsed="false">
      <c r="A8" s="2" t="s">
        <v>19</v>
      </c>
      <c r="B8" s="7" t="n">
        <f aca="false">SUMIFS(fact_pnl!$G$2:$G$141,fact_pnl!$A$2:$A$141,$B$2,fact_pnl!$E$2:$E$141,"Budget",fact_pnl!$C$2:$C$141,2026,fact_pnl!$F$2:$F$141,$K8)</f>
        <v>35112</v>
      </c>
      <c r="C8" s="7" t="n">
        <f aca="false">SUMIFS(fact_pnl!$G$2:$G$141,fact_pnl!$A$2:$A$141,$B$2,fact_pnl!$E$2:$E$141,"Actual",fact_pnl!$C$2:$C$141,2026,fact_pnl!$F$2:$F$141,$K8,fact_pnl!$D$2:$D$141,"&lt;=2")</f>
        <v>18076</v>
      </c>
      <c r="D8" s="7" t="n">
        <f aca="false">SUMIFS(fact_pnl!$G$2:$G$141,fact_pnl!$A$2:$A$141,$B$2,fact_pnl!$E$2:$E$141,"Forecast",fact_pnl!$C$2:$C$141,2026,fact_pnl!$F$2:$F$141,$K8,fact_pnl!$D$2:$D$141,"&gt;=3")</f>
        <v>17605.6</v>
      </c>
      <c r="E8" s="7" t="n">
        <f aca="false">C8+D8</f>
        <v>35681.6</v>
      </c>
      <c r="F8" s="7" t="n">
        <f aca="false">(E8-B8)*$L8</f>
        <v>-569.599999999999</v>
      </c>
      <c r="G8" s="8" t="n">
        <f aca="false">IF(B8=0,0,F8/B8)</f>
        <v>-0.0162223741171109</v>
      </c>
      <c r="H8" s="7" t="n">
        <f aca="false">SUMIFS(fact_pnl!$G$2:$G$141,fact_pnl!$A$2:$A$141,$B$2,fact_pnl!$E$2:$E$141,"Actual",fact_pnl!$C$2:$C$141,2025,fact_pnl!$F$2:$F$141,$K8)</f>
        <v>33975</v>
      </c>
      <c r="I8" s="8" t="n">
        <f aca="false">IF(H8=0,0,E8/H8-1)</f>
        <v>0.0502310522442973</v>
      </c>
      <c r="K8" s="6" t="s">
        <v>20</v>
      </c>
      <c r="L8" s="9" t="n">
        <v>-1</v>
      </c>
    </row>
    <row r="9" customFormat="false" ht="15" hidden="false" customHeight="false" outlineLevel="0" collapsed="false">
      <c r="A9" s="2" t="s">
        <v>21</v>
      </c>
      <c r="B9" s="7" t="n">
        <f aca="false">SUMIFS(fact_pnl!$G$2:$G$141,fact_pnl!$A$2:$A$141,$B$2,fact_pnl!$E$2:$E$141,"Budget",fact_pnl!$C$2:$C$141,2026,fact_pnl!$F$2:$F$141,$K9)</f>
        <v>21305.9</v>
      </c>
      <c r="C9" s="7" t="n">
        <f aca="false">SUMIFS(fact_pnl!$G$2:$G$141,fact_pnl!$A$2:$A$141,$B$2,fact_pnl!$E$2:$E$141,"Actual",fact_pnl!$C$2:$C$141,2026,fact_pnl!$F$2:$F$141,$K9,fact_pnl!$D$2:$D$141,"&lt;=2")</f>
        <v>11820</v>
      </c>
      <c r="D9" s="7" t="n">
        <f aca="false">SUMIFS(fact_pnl!$G$2:$G$141,fact_pnl!$A$2:$A$141,$B$2,fact_pnl!$E$2:$E$141,"Forecast",fact_pnl!$C$2:$C$141,2026,fact_pnl!$F$2:$F$141,$K9,fact_pnl!$D$2:$D$141,"&gt;=3")</f>
        <v>8917.5</v>
      </c>
      <c r="E9" s="7" t="n">
        <f aca="false">C9+D9</f>
        <v>20737.5</v>
      </c>
      <c r="F9" s="7" t="n">
        <f aca="false">(E9-B9)*$L9</f>
        <v>-568.399999999998</v>
      </c>
      <c r="G9" s="8" t="n">
        <f aca="false">IF(B9=0,0,F9/B9)</f>
        <v>-0.02667805631304</v>
      </c>
      <c r="H9" s="7" t="n">
        <f aca="false">SUMIFS(fact_pnl!$G$2:$G$141,fact_pnl!$A$2:$A$141,$B$2,fact_pnl!$E$2:$E$141,"Actual",fact_pnl!$C$2:$C$141,2025,fact_pnl!$F$2:$F$141,$K9)</f>
        <v>20890</v>
      </c>
      <c r="I9" s="8" t="n">
        <f aca="false">IF(H9=0,0,E9/H9-1)</f>
        <v>-0.00730014360938247</v>
      </c>
      <c r="K9" s="6" t="s">
        <v>22</v>
      </c>
      <c r="L9" s="9" t="n">
        <v>1</v>
      </c>
    </row>
    <row r="10" customFormat="false" ht="15" hidden="false" customHeight="false" outlineLevel="0" collapsed="false">
      <c r="A10" s="2" t="s">
        <v>23</v>
      </c>
      <c r="B10" s="7" t="n">
        <f aca="false">SUMIFS(fact_pnl!$G$2:$G$141,fact_pnl!$A$2:$A$141,$B$2,fact_pnl!$E$2:$E$141,"Budget",fact_pnl!$C$2:$C$141,2026,fact_pnl!$F$2:$F$141,$K10)</f>
        <v>14387.3</v>
      </c>
      <c r="C10" s="7" t="n">
        <f aca="false">SUMIFS(fact_pnl!$G$2:$G$141,fact_pnl!$A$2:$A$141,$B$2,fact_pnl!$E$2:$E$141,"Actual",fact_pnl!$C$2:$C$141,2026,fact_pnl!$F$2:$F$141,$K10,fact_pnl!$D$2:$D$141,"&lt;=2")</f>
        <v>8055</v>
      </c>
      <c r="D10" s="7" t="n">
        <f aca="false">SUMIFS(fact_pnl!$G$2:$G$141,fact_pnl!$A$2:$A$141,$B$2,fact_pnl!$E$2:$E$141,"Forecast",fact_pnl!$C$2:$C$141,2026,fact_pnl!$F$2:$F$141,$K10,fact_pnl!$D$2:$D$141,"&gt;=3")</f>
        <v>5880</v>
      </c>
      <c r="E10" s="7" t="n">
        <f aca="false">C10+D10</f>
        <v>13935</v>
      </c>
      <c r="F10" s="7" t="n">
        <f aca="false">(E10-B10)*$L10</f>
        <v>-452.299999999999</v>
      </c>
      <c r="G10" s="8" t="n">
        <f aca="false">IF(B10=0,0,F10/B10)</f>
        <v>-0.0314374483051024</v>
      </c>
      <c r="H10" s="7" t="n">
        <f aca="false">SUMIFS(fact_pnl!$G$2:$G$141,fact_pnl!$A$2:$A$141,$B$2,fact_pnl!$E$2:$E$141,"Actual",fact_pnl!$C$2:$C$141,2025,fact_pnl!$F$2:$F$141,$K10)</f>
        <v>14156</v>
      </c>
      <c r="I10" s="8" t="n">
        <f aca="false">IF(H10=0,0,E10/H10-1)</f>
        <v>-0.0156117547329754</v>
      </c>
      <c r="K10" s="6" t="s">
        <v>24</v>
      </c>
      <c r="L10" s="9" t="n">
        <v>1</v>
      </c>
    </row>
    <row r="12" customFormat="false" ht="15" hidden="false" customHeight="false" outlineLevel="0" collapsed="false">
      <c r="A12" s="2" t="s">
        <v>25</v>
      </c>
      <c r="B12" s="8" t="n">
        <f aca="false">IF(B6=0,0,B7/B6)</f>
        <v>0.331000446473359</v>
      </c>
      <c r="C12" s="8" t="n">
        <f aca="false">IF(C6=0,0,C7/C6)</f>
        <v>0.333563921183585</v>
      </c>
      <c r="D12" s="8" t="n">
        <f aca="false">IF(D6=0,0,D7/D6)</f>
        <v>0.328200134135507</v>
      </c>
      <c r="E12" s="8" t="n">
        <f aca="false">IF(E6=0,0,E7/E6)</f>
        <v>0.331020688829722</v>
      </c>
      <c r="F12" s="10" t="n">
        <f aca="false">(E12-B12)*10000</f>
        <v>0.202423563624987</v>
      </c>
      <c r="H12" s="8" t="n">
        <f aca="false">IF(H6=0,0,H7/H6)</f>
        <v>0.333155213349283</v>
      </c>
    </row>
    <row r="13" customFormat="false" ht="15" hidden="false" customHeight="false" outlineLevel="0" collapsed="false">
      <c r="A13" s="2" t="s">
        <v>26</v>
      </c>
      <c r="B13" s="8" t="n">
        <f aca="false">IF(B6=0,0,B9/B6)</f>
        <v>0.125000220009868</v>
      </c>
      <c r="C13" s="8" t="n">
        <f aca="false">IF(C6=0,0,C9/C6)</f>
        <v>0.131881373708522</v>
      </c>
      <c r="D13" s="8" t="n">
        <f aca="false">IF(D6=0,0,D9/D6)</f>
        <v>0.110346252743962</v>
      </c>
      <c r="E13" s="8" t="n">
        <f aca="false">IF(E6=0,0,E9/E6)</f>
        <v>0.121670525311576</v>
      </c>
      <c r="F13" s="10" t="n">
        <f aca="false">(E13-B13)*10000</f>
        <v>-33.2969469829186</v>
      </c>
      <c r="H13" s="8" t="n">
        <f aca="false">IF(H6=0,0,H9/H6)</f>
        <v>0.126849765913907</v>
      </c>
    </row>
    <row r="15" customFormat="false" ht="15" hidden="false" customHeight="false" outlineLevel="0" collapsed="false">
      <c r="A15" s="4" t="s">
        <v>27</v>
      </c>
    </row>
  </sheetData>
  <dataValidations count="1">
    <dataValidation allowBlank="false" errorStyle="stop" operator="between" showDropDown="false" showErrorMessage="false" showInputMessage="false" sqref="B2" type="list">
      <formula1>"HD,LOW"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</row>
    <row r="2" customFormat="false" ht="15" hidden="false" customHeight="false" outlineLevel="0" collapsed="false">
      <c r="A2" s="12" t="s">
        <v>2</v>
      </c>
      <c r="B2" s="12" t="s">
        <v>35</v>
      </c>
      <c r="C2" s="12" t="n">
        <v>2025</v>
      </c>
      <c r="D2" s="12" t="n">
        <v>1</v>
      </c>
      <c r="E2" s="12" t="s">
        <v>36</v>
      </c>
      <c r="F2" s="12" t="s">
        <v>18</v>
      </c>
      <c r="G2" s="7" t="n">
        <v>13459</v>
      </c>
    </row>
    <row r="3" customFormat="false" ht="15" hidden="false" customHeight="false" outlineLevel="0" collapsed="false">
      <c r="A3" s="12" t="s">
        <v>2</v>
      </c>
      <c r="B3" s="12" t="s">
        <v>35</v>
      </c>
      <c r="C3" s="12" t="n">
        <v>2025</v>
      </c>
      <c r="D3" s="12" t="n">
        <v>1</v>
      </c>
      <c r="E3" s="12" t="s">
        <v>36</v>
      </c>
      <c r="F3" s="12" t="s">
        <v>24</v>
      </c>
      <c r="G3" s="7" t="n">
        <v>3433</v>
      </c>
    </row>
    <row r="4" customFormat="false" ht="15" hidden="false" customHeight="false" outlineLevel="0" collapsed="false">
      <c r="A4" s="12" t="s">
        <v>2</v>
      </c>
      <c r="B4" s="12" t="s">
        <v>35</v>
      </c>
      <c r="C4" s="12" t="n">
        <v>2025</v>
      </c>
      <c r="D4" s="12" t="n">
        <v>1</v>
      </c>
      <c r="E4" s="12" t="s">
        <v>36</v>
      </c>
      <c r="F4" s="12" t="s">
        <v>22</v>
      </c>
      <c r="G4" s="7" t="n">
        <v>5133</v>
      </c>
    </row>
    <row r="5" customFormat="false" ht="15" hidden="false" customHeight="false" outlineLevel="0" collapsed="false">
      <c r="A5" s="12" t="s">
        <v>2</v>
      </c>
      <c r="B5" s="12" t="s">
        <v>35</v>
      </c>
      <c r="C5" s="12" t="n">
        <v>2025</v>
      </c>
      <c r="D5" s="12" t="n">
        <v>1</v>
      </c>
      <c r="E5" s="12" t="s">
        <v>36</v>
      </c>
      <c r="F5" s="12" t="s">
        <v>20</v>
      </c>
      <c r="G5" s="7" t="n">
        <v>8326</v>
      </c>
    </row>
    <row r="6" customFormat="false" ht="15" hidden="false" customHeight="false" outlineLevel="0" collapsed="false">
      <c r="A6" s="12" t="s">
        <v>2</v>
      </c>
      <c r="B6" s="12" t="s">
        <v>35</v>
      </c>
      <c r="C6" s="12" t="n">
        <v>2025</v>
      </c>
      <c r="D6" s="12" t="n">
        <v>1</v>
      </c>
      <c r="E6" s="12" t="s">
        <v>36</v>
      </c>
      <c r="F6" s="12" t="s">
        <v>16</v>
      </c>
      <c r="G6" s="7" t="n">
        <v>39856</v>
      </c>
    </row>
    <row r="7" customFormat="false" ht="15" hidden="false" customHeight="false" outlineLevel="0" collapsed="false">
      <c r="A7" s="12" t="s">
        <v>2</v>
      </c>
      <c r="B7" s="12" t="s">
        <v>37</v>
      </c>
      <c r="C7" s="12" t="n">
        <v>2025</v>
      </c>
      <c r="D7" s="12" t="n">
        <v>2</v>
      </c>
      <c r="E7" s="12" t="s">
        <v>36</v>
      </c>
      <c r="F7" s="12" t="s">
        <v>18</v>
      </c>
      <c r="G7" s="7" t="n">
        <v>15125</v>
      </c>
    </row>
    <row r="8" customFormat="false" ht="15" hidden="false" customHeight="false" outlineLevel="0" collapsed="false">
      <c r="A8" s="12" t="s">
        <v>2</v>
      </c>
      <c r="B8" s="12" t="s">
        <v>37</v>
      </c>
      <c r="C8" s="12" t="n">
        <v>2025</v>
      </c>
      <c r="D8" s="12" t="n">
        <v>2</v>
      </c>
      <c r="E8" s="12" t="s">
        <v>36</v>
      </c>
      <c r="F8" s="12" t="s">
        <v>24</v>
      </c>
      <c r="G8" s="7" t="n">
        <v>4551</v>
      </c>
    </row>
    <row r="9" customFormat="false" ht="15" hidden="false" customHeight="false" outlineLevel="0" collapsed="false">
      <c r="A9" s="12" t="s">
        <v>2</v>
      </c>
      <c r="B9" s="12" t="s">
        <v>37</v>
      </c>
      <c r="C9" s="12" t="n">
        <v>2025</v>
      </c>
      <c r="D9" s="12" t="n">
        <v>2</v>
      </c>
      <c r="E9" s="12" t="s">
        <v>36</v>
      </c>
      <c r="F9" s="12" t="s">
        <v>22</v>
      </c>
      <c r="G9" s="7" t="n">
        <v>6555</v>
      </c>
    </row>
    <row r="10" customFormat="false" ht="15" hidden="false" customHeight="false" outlineLevel="0" collapsed="false">
      <c r="A10" s="12" t="s">
        <v>2</v>
      </c>
      <c r="B10" s="12" t="s">
        <v>37</v>
      </c>
      <c r="C10" s="12" t="n">
        <v>2025</v>
      </c>
      <c r="D10" s="12" t="n">
        <v>2</v>
      </c>
      <c r="E10" s="12" t="s">
        <v>36</v>
      </c>
      <c r="F10" s="12" t="s">
        <v>20</v>
      </c>
      <c r="G10" s="7" t="n">
        <v>8570</v>
      </c>
    </row>
    <row r="11" customFormat="false" ht="15" hidden="false" customHeight="false" outlineLevel="0" collapsed="false">
      <c r="A11" s="12" t="s">
        <v>2</v>
      </c>
      <c r="B11" s="12" t="s">
        <v>37</v>
      </c>
      <c r="C11" s="12" t="n">
        <v>2025</v>
      </c>
      <c r="D11" s="12" t="n">
        <v>2</v>
      </c>
      <c r="E11" s="12" t="s">
        <v>36</v>
      </c>
      <c r="F11" s="12" t="s">
        <v>16</v>
      </c>
      <c r="G11" s="7" t="n">
        <v>45277</v>
      </c>
    </row>
    <row r="12" customFormat="false" ht="15" hidden="false" customHeight="false" outlineLevel="0" collapsed="false">
      <c r="A12" s="12" t="s">
        <v>2</v>
      </c>
      <c r="B12" s="12" t="s">
        <v>38</v>
      </c>
      <c r="C12" s="12" t="n">
        <v>2025</v>
      </c>
      <c r="D12" s="12" t="n">
        <v>3</v>
      </c>
      <c r="E12" s="12" t="s">
        <v>36</v>
      </c>
      <c r="F12" s="12" t="s">
        <v>18</v>
      </c>
      <c r="G12" s="7" t="n">
        <v>13815</v>
      </c>
    </row>
    <row r="13" customFormat="false" ht="15" hidden="false" customHeight="false" outlineLevel="0" collapsed="false">
      <c r="A13" s="12" t="s">
        <v>2</v>
      </c>
      <c r="B13" s="12" t="s">
        <v>38</v>
      </c>
      <c r="C13" s="12" t="n">
        <v>2025</v>
      </c>
      <c r="D13" s="12" t="n">
        <v>3</v>
      </c>
      <c r="E13" s="12" t="s">
        <v>36</v>
      </c>
      <c r="F13" s="12" t="s">
        <v>24</v>
      </c>
      <c r="G13" s="7" t="n">
        <v>3601</v>
      </c>
    </row>
    <row r="14" customFormat="false" ht="15" hidden="false" customHeight="false" outlineLevel="0" collapsed="false">
      <c r="A14" s="12" t="s">
        <v>2</v>
      </c>
      <c r="B14" s="12" t="s">
        <v>38</v>
      </c>
      <c r="C14" s="12" t="n">
        <v>2025</v>
      </c>
      <c r="D14" s="12" t="n">
        <v>3</v>
      </c>
      <c r="E14" s="12" t="s">
        <v>36</v>
      </c>
      <c r="F14" s="12" t="s">
        <v>22</v>
      </c>
      <c r="G14" s="7" t="n">
        <v>5353</v>
      </c>
    </row>
    <row r="15" customFormat="false" ht="15" hidden="false" customHeight="false" outlineLevel="0" collapsed="false">
      <c r="A15" s="12" t="s">
        <v>2</v>
      </c>
      <c r="B15" s="12" t="s">
        <v>38</v>
      </c>
      <c r="C15" s="12" t="n">
        <v>2025</v>
      </c>
      <c r="D15" s="12" t="n">
        <v>3</v>
      </c>
      <c r="E15" s="12" t="s">
        <v>36</v>
      </c>
      <c r="F15" s="12" t="s">
        <v>20</v>
      </c>
      <c r="G15" s="7" t="n">
        <v>8462</v>
      </c>
    </row>
    <row r="16" customFormat="false" ht="15" hidden="false" customHeight="false" outlineLevel="0" collapsed="false">
      <c r="A16" s="12" t="s">
        <v>2</v>
      </c>
      <c r="B16" s="12" t="s">
        <v>38</v>
      </c>
      <c r="C16" s="12" t="n">
        <v>2025</v>
      </c>
      <c r="D16" s="12" t="n">
        <v>3</v>
      </c>
      <c r="E16" s="12" t="s">
        <v>36</v>
      </c>
      <c r="F16" s="12" t="s">
        <v>16</v>
      </c>
      <c r="G16" s="7" t="n">
        <v>41352</v>
      </c>
    </row>
    <row r="17" customFormat="false" ht="15" hidden="false" customHeight="false" outlineLevel="0" collapsed="false">
      <c r="A17" s="12" t="s">
        <v>2</v>
      </c>
      <c r="B17" s="12" t="s">
        <v>39</v>
      </c>
      <c r="C17" s="12" t="n">
        <v>2025</v>
      </c>
      <c r="D17" s="12" t="n">
        <v>4</v>
      </c>
      <c r="E17" s="12" t="s">
        <v>36</v>
      </c>
      <c r="F17" s="12" t="s">
        <v>18</v>
      </c>
      <c r="G17" s="7" t="n">
        <v>12466</v>
      </c>
    </row>
    <row r="18" customFormat="false" ht="15" hidden="false" customHeight="false" outlineLevel="0" collapsed="false">
      <c r="A18" s="12" t="s">
        <v>2</v>
      </c>
      <c r="B18" s="12" t="s">
        <v>39</v>
      </c>
      <c r="C18" s="12" t="n">
        <v>2025</v>
      </c>
      <c r="D18" s="12" t="n">
        <v>4</v>
      </c>
      <c r="E18" s="12" t="s">
        <v>36</v>
      </c>
      <c r="F18" s="12" t="s">
        <v>24</v>
      </c>
      <c r="G18" s="7" t="n">
        <v>2571</v>
      </c>
    </row>
    <row r="19" customFormat="false" ht="15" hidden="false" customHeight="false" outlineLevel="0" collapsed="false">
      <c r="A19" s="12" t="s">
        <v>2</v>
      </c>
      <c r="B19" s="12" t="s">
        <v>39</v>
      </c>
      <c r="C19" s="12" t="n">
        <v>2025</v>
      </c>
      <c r="D19" s="12" t="n">
        <v>4</v>
      </c>
      <c r="E19" s="12" t="s">
        <v>36</v>
      </c>
      <c r="F19" s="12" t="s">
        <v>22</v>
      </c>
      <c r="G19" s="7" t="n">
        <v>3849</v>
      </c>
    </row>
    <row r="20" customFormat="false" ht="15" hidden="false" customHeight="false" outlineLevel="0" collapsed="false">
      <c r="A20" s="12" t="s">
        <v>2</v>
      </c>
      <c r="B20" s="12" t="s">
        <v>39</v>
      </c>
      <c r="C20" s="12" t="n">
        <v>2025</v>
      </c>
      <c r="D20" s="12" t="n">
        <v>4</v>
      </c>
      <c r="E20" s="12" t="s">
        <v>36</v>
      </c>
      <c r="F20" s="12" t="s">
        <v>20</v>
      </c>
      <c r="G20" s="7" t="n">
        <v>8617</v>
      </c>
    </row>
    <row r="21" customFormat="false" ht="15" hidden="false" customHeight="false" outlineLevel="0" collapsed="false">
      <c r="A21" s="12" t="s">
        <v>2</v>
      </c>
      <c r="B21" s="12" t="s">
        <v>39</v>
      </c>
      <c r="C21" s="12" t="n">
        <v>2025</v>
      </c>
      <c r="D21" s="12" t="n">
        <v>4</v>
      </c>
      <c r="E21" s="12" t="s">
        <v>36</v>
      </c>
      <c r="F21" s="12" t="s">
        <v>16</v>
      </c>
      <c r="G21" s="7" t="n">
        <v>38198</v>
      </c>
    </row>
    <row r="22" customFormat="false" ht="15" hidden="false" customHeight="false" outlineLevel="0" collapsed="false">
      <c r="A22" s="12" t="s">
        <v>2</v>
      </c>
      <c r="B22" s="12" t="s">
        <v>40</v>
      </c>
      <c r="C22" s="12" t="n">
        <v>2026</v>
      </c>
      <c r="D22" s="12" t="n">
        <v>1</v>
      </c>
      <c r="E22" s="12" t="s">
        <v>36</v>
      </c>
      <c r="F22" s="12" t="s">
        <v>18</v>
      </c>
      <c r="G22" s="7" t="n">
        <v>13781</v>
      </c>
    </row>
    <row r="23" customFormat="false" ht="15" hidden="false" customHeight="false" outlineLevel="0" collapsed="false">
      <c r="A23" s="12" t="s">
        <v>2</v>
      </c>
      <c r="B23" s="12" t="s">
        <v>40</v>
      </c>
      <c r="C23" s="12" t="n">
        <v>2026</v>
      </c>
      <c r="D23" s="12" t="n">
        <v>1</v>
      </c>
      <c r="E23" s="12" t="s">
        <v>36</v>
      </c>
      <c r="F23" s="12" t="s">
        <v>24</v>
      </c>
      <c r="G23" s="7" t="n">
        <v>3289</v>
      </c>
    </row>
    <row r="24" customFormat="false" ht="15" hidden="false" customHeight="false" outlineLevel="0" collapsed="false">
      <c r="A24" s="12" t="s">
        <v>2</v>
      </c>
      <c r="B24" s="12" t="s">
        <v>40</v>
      </c>
      <c r="C24" s="12" t="n">
        <v>2026</v>
      </c>
      <c r="D24" s="12" t="n">
        <v>1</v>
      </c>
      <c r="E24" s="12" t="s">
        <v>36</v>
      </c>
      <c r="F24" s="12" t="s">
        <v>22</v>
      </c>
      <c r="G24" s="7" t="n">
        <v>4981</v>
      </c>
    </row>
    <row r="25" customFormat="false" ht="15" hidden="false" customHeight="false" outlineLevel="0" collapsed="false">
      <c r="A25" s="12" t="s">
        <v>2</v>
      </c>
      <c r="B25" s="12" t="s">
        <v>40</v>
      </c>
      <c r="C25" s="12" t="n">
        <v>2026</v>
      </c>
      <c r="D25" s="12" t="n">
        <v>1</v>
      </c>
      <c r="E25" s="12" t="s">
        <v>36</v>
      </c>
      <c r="F25" s="12" t="s">
        <v>20</v>
      </c>
      <c r="G25" s="7" t="n">
        <v>8800</v>
      </c>
    </row>
    <row r="26" customFormat="false" ht="15" hidden="false" customHeight="false" outlineLevel="0" collapsed="false">
      <c r="A26" s="12" t="s">
        <v>2</v>
      </c>
      <c r="B26" s="12" t="s">
        <v>40</v>
      </c>
      <c r="C26" s="12" t="n">
        <v>2026</v>
      </c>
      <c r="D26" s="12" t="n">
        <v>1</v>
      </c>
      <c r="E26" s="12" t="s">
        <v>36</v>
      </c>
      <c r="F26" s="12" t="s">
        <v>16</v>
      </c>
      <c r="G26" s="7" t="n">
        <v>41765</v>
      </c>
    </row>
    <row r="27" customFormat="false" ht="15" hidden="false" customHeight="false" outlineLevel="0" collapsed="false">
      <c r="A27" s="12" t="s">
        <v>2</v>
      </c>
      <c r="B27" s="12" t="s">
        <v>40</v>
      </c>
      <c r="C27" s="12" t="n">
        <v>2026</v>
      </c>
      <c r="D27" s="12" t="n">
        <v>1</v>
      </c>
      <c r="E27" s="12" t="s">
        <v>41</v>
      </c>
      <c r="F27" s="12" t="s">
        <v>18</v>
      </c>
      <c r="G27" s="7" t="n">
        <v>13841.2</v>
      </c>
    </row>
    <row r="28" customFormat="false" ht="15" hidden="false" customHeight="false" outlineLevel="0" collapsed="false">
      <c r="A28" s="12" t="s">
        <v>2</v>
      </c>
      <c r="B28" s="12" t="s">
        <v>40</v>
      </c>
      <c r="C28" s="12" t="n">
        <v>2026</v>
      </c>
      <c r="D28" s="12" t="n">
        <v>1</v>
      </c>
      <c r="E28" s="12" t="s">
        <v>41</v>
      </c>
      <c r="F28" s="12" t="s">
        <v>24</v>
      </c>
      <c r="G28" s="7" t="n">
        <v>3528.6</v>
      </c>
    </row>
    <row r="29" customFormat="false" ht="15" hidden="false" customHeight="false" outlineLevel="0" collapsed="false">
      <c r="A29" s="12" t="s">
        <v>2</v>
      </c>
      <c r="B29" s="12" t="s">
        <v>40</v>
      </c>
      <c r="C29" s="12" t="n">
        <v>2026</v>
      </c>
      <c r="D29" s="12" t="n">
        <v>1</v>
      </c>
      <c r="E29" s="12" t="s">
        <v>41</v>
      </c>
      <c r="F29" s="12" t="s">
        <v>22</v>
      </c>
      <c r="G29" s="7" t="n">
        <v>5236.4</v>
      </c>
    </row>
    <row r="30" customFormat="false" ht="15" hidden="false" customHeight="false" outlineLevel="0" collapsed="false">
      <c r="A30" s="12" t="s">
        <v>2</v>
      </c>
      <c r="B30" s="12" t="s">
        <v>40</v>
      </c>
      <c r="C30" s="12" t="n">
        <v>2026</v>
      </c>
      <c r="D30" s="12" t="n">
        <v>1</v>
      </c>
      <c r="E30" s="12" t="s">
        <v>41</v>
      </c>
      <c r="F30" s="12" t="s">
        <v>20</v>
      </c>
      <c r="G30" s="7" t="n">
        <v>8604.8</v>
      </c>
    </row>
    <row r="31" customFormat="false" ht="15" hidden="false" customHeight="false" outlineLevel="0" collapsed="false">
      <c r="A31" s="12" t="s">
        <v>2</v>
      </c>
      <c r="B31" s="12" t="s">
        <v>40</v>
      </c>
      <c r="C31" s="12" t="n">
        <v>2026</v>
      </c>
      <c r="D31" s="12" t="n">
        <v>1</v>
      </c>
      <c r="E31" s="12" t="s">
        <v>41</v>
      </c>
      <c r="F31" s="12" t="s">
        <v>16</v>
      </c>
      <c r="G31" s="7" t="n">
        <v>41251</v>
      </c>
    </row>
    <row r="32" customFormat="false" ht="15" hidden="false" customHeight="false" outlineLevel="0" collapsed="false">
      <c r="A32" s="12" t="s">
        <v>2</v>
      </c>
      <c r="B32" s="12" t="s">
        <v>40</v>
      </c>
      <c r="C32" s="12" t="n">
        <v>2026</v>
      </c>
      <c r="D32" s="12" t="n">
        <v>1</v>
      </c>
      <c r="E32" s="12" t="s">
        <v>42</v>
      </c>
      <c r="F32" s="12" t="s">
        <v>18</v>
      </c>
      <c r="G32" s="7" t="n">
        <v>13781</v>
      </c>
    </row>
    <row r="33" customFormat="false" ht="15" hidden="false" customHeight="false" outlineLevel="0" collapsed="false">
      <c r="A33" s="12" t="s">
        <v>2</v>
      </c>
      <c r="B33" s="12" t="s">
        <v>40</v>
      </c>
      <c r="C33" s="12" t="n">
        <v>2026</v>
      </c>
      <c r="D33" s="12" t="n">
        <v>1</v>
      </c>
      <c r="E33" s="12" t="s">
        <v>42</v>
      </c>
      <c r="F33" s="12" t="s">
        <v>24</v>
      </c>
      <c r="G33" s="7" t="n">
        <v>3289</v>
      </c>
    </row>
    <row r="34" customFormat="false" ht="15" hidden="false" customHeight="false" outlineLevel="0" collapsed="false">
      <c r="A34" s="12" t="s">
        <v>2</v>
      </c>
      <c r="B34" s="12" t="s">
        <v>40</v>
      </c>
      <c r="C34" s="12" t="n">
        <v>2026</v>
      </c>
      <c r="D34" s="12" t="n">
        <v>1</v>
      </c>
      <c r="E34" s="12" t="s">
        <v>42</v>
      </c>
      <c r="F34" s="12" t="s">
        <v>22</v>
      </c>
      <c r="G34" s="7" t="n">
        <v>4981</v>
      </c>
    </row>
    <row r="35" customFormat="false" ht="15" hidden="false" customHeight="false" outlineLevel="0" collapsed="false">
      <c r="A35" s="12" t="s">
        <v>2</v>
      </c>
      <c r="B35" s="12" t="s">
        <v>40</v>
      </c>
      <c r="C35" s="12" t="n">
        <v>2026</v>
      </c>
      <c r="D35" s="12" t="n">
        <v>1</v>
      </c>
      <c r="E35" s="12" t="s">
        <v>42</v>
      </c>
      <c r="F35" s="12" t="s">
        <v>20</v>
      </c>
      <c r="G35" s="7" t="n">
        <v>8800</v>
      </c>
    </row>
    <row r="36" customFormat="false" ht="15" hidden="false" customHeight="false" outlineLevel="0" collapsed="false">
      <c r="A36" s="12" t="s">
        <v>2</v>
      </c>
      <c r="B36" s="12" t="s">
        <v>40</v>
      </c>
      <c r="C36" s="12" t="n">
        <v>2026</v>
      </c>
      <c r="D36" s="12" t="n">
        <v>1</v>
      </c>
      <c r="E36" s="12" t="s">
        <v>42</v>
      </c>
      <c r="F36" s="12" t="s">
        <v>16</v>
      </c>
      <c r="G36" s="7" t="n">
        <v>41765</v>
      </c>
    </row>
    <row r="37" customFormat="false" ht="15" hidden="false" customHeight="false" outlineLevel="0" collapsed="false">
      <c r="A37" s="12" t="s">
        <v>2</v>
      </c>
      <c r="B37" s="12" t="s">
        <v>43</v>
      </c>
      <c r="C37" s="12" t="n">
        <v>2026</v>
      </c>
      <c r="D37" s="12" t="n">
        <v>2</v>
      </c>
      <c r="E37" s="12" t="s">
        <v>36</v>
      </c>
      <c r="F37" s="12" t="s">
        <v>18</v>
      </c>
      <c r="G37" s="7" t="n">
        <v>16115</v>
      </c>
    </row>
    <row r="38" customFormat="false" ht="15" hidden="false" customHeight="false" outlineLevel="0" collapsed="false">
      <c r="A38" s="12" t="s">
        <v>2</v>
      </c>
      <c r="B38" s="12" t="s">
        <v>43</v>
      </c>
      <c r="C38" s="12" t="n">
        <v>2026</v>
      </c>
      <c r="D38" s="12" t="n">
        <v>2</v>
      </c>
      <c r="E38" s="12" t="s">
        <v>36</v>
      </c>
      <c r="F38" s="12" t="s">
        <v>24</v>
      </c>
      <c r="G38" s="7" t="n">
        <v>4766</v>
      </c>
    </row>
    <row r="39" customFormat="false" ht="15" hidden="false" customHeight="false" outlineLevel="0" collapsed="false">
      <c r="A39" s="12" t="s">
        <v>2</v>
      </c>
      <c r="B39" s="12" t="s">
        <v>43</v>
      </c>
      <c r="C39" s="12" t="n">
        <v>2026</v>
      </c>
      <c r="D39" s="12" t="n">
        <v>2</v>
      </c>
      <c r="E39" s="12" t="s">
        <v>36</v>
      </c>
      <c r="F39" s="12" t="s">
        <v>22</v>
      </c>
      <c r="G39" s="7" t="n">
        <v>6839</v>
      </c>
    </row>
    <row r="40" customFormat="false" ht="15" hidden="false" customHeight="false" outlineLevel="0" collapsed="false">
      <c r="A40" s="12" t="s">
        <v>2</v>
      </c>
      <c r="B40" s="12" t="s">
        <v>43</v>
      </c>
      <c r="C40" s="12" t="n">
        <v>2026</v>
      </c>
      <c r="D40" s="12" t="n">
        <v>2</v>
      </c>
      <c r="E40" s="12" t="s">
        <v>36</v>
      </c>
      <c r="F40" s="12" t="s">
        <v>20</v>
      </c>
      <c r="G40" s="7" t="n">
        <v>9276</v>
      </c>
    </row>
    <row r="41" customFormat="false" ht="15" hidden="false" customHeight="false" outlineLevel="0" collapsed="false">
      <c r="A41" s="12" t="s">
        <v>2</v>
      </c>
      <c r="B41" s="12" t="s">
        <v>43</v>
      </c>
      <c r="C41" s="12" t="n">
        <v>2026</v>
      </c>
      <c r="D41" s="12" t="n">
        <v>2</v>
      </c>
      <c r="E41" s="12" t="s">
        <v>36</v>
      </c>
      <c r="F41" s="12" t="s">
        <v>16</v>
      </c>
      <c r="G41" s="7" t="n">
        <v>47861</v>
      </c>
    </row>
    <row r="42" customFormat="false" ht="15" hidden="false" customHeight="false" outlineLevel="0" collapsed="false">
      <c r="A42" s="12" t="s">
        <v>2</v>
      </c>
      <c r="B42" s="12" t="s">
        <v>43</v>
      </c>
      <c r="C42" s="12" t="n">
        <v>2026</v>
      </c>
      <c r="D42" s="12" t="n">
        <v>2</v>
      </c>
      <c r="E42" s="12" t="s">
        <v>41</v>
      </c>
      <c r="F42" s="12" t="s">
        <v>18</v>
      </c>
      <c r="G42" s="7" t="n">
        <v>15553.4</v>
      </c>
    </row>
    <row r="43" customFormat="false" ht="15" hidden="false" customHeight="false" outlineLevel="0" collapsed="false">
      <c r="A43" s="12" t="s">
        <v>2</v>
      </c>
      <c r="B43" s="12" t="s">
        <v>43</v>
      </c>
      <c r="C43" s="12" t="n">
        <v>2026</v>
      </c>
      <c r="D43" s="12" t="n">
        <v>2</v>
      </c>
      <c r="E43" s="12" t="s">
        <v>41</v>
      </c>
      <c r="F43" s="12" t="s">
        <v>24</v>
      </c>
      <c r="G43" s="7" t="n">
        <v>4634.9</v>
      </c>
    </row>
    <row r="44" customFormat="false" ht="15" hidden="false" customHeight="false" outlineLevel="0" collapsed="false">
      <c r="A44" s="12" t="s">
        <v>2</v>
      </c>
      <c r="B44" s="12" t="s">
        <v>43</v>
      </c>
      <c r="C44" s="12" t="n">
        <v>2026</v>
      </c>
      <c r="D44" s="12" t="n">
        <v>2</v>
      </c>
      <c r="E44" s="12" t="s">
        <v>41</v>
      </c>
      <c r="F44" s="12" t="s">
        <v>22</v>
      </c>
      <c r="G44" s="7" t="n">
        <v>6697.7</v>
      </c>
    </row>
    <row r="45" customFormat="false" ht="15" hidden="false" customHeight="false" outlineLevel="0" collapsed="false">
      <c r="A45" s="12" t="s">
        <v>2</v>
      </c>
      <c r="B45" s="12" t="s">
        <v>43</v>
      </c>
      <c r="C45" s="12" t="n">
        <v>2026</v>
      </c>
      <c r="D45" s="12" t="n">
        <v>2</v>
      </c>
      <c r="E45" s="12" t="s">
        <v>41</v>
      </c>
      <c r="F45" s="12" t="s">
        <v>20</v>
      </c>
      <c r="G45" s="7" t="n">
        <v>8855.6</v>
      </c>
    </row>
    <row r="46" customFormat="false" ht="15" hidden="false" customHeight="false" outlineLevel="0" collapsed="false">
      <c r="A46" s="12" t="s">
        <v>2</v>
      </c>
      <c r="B46" s="12" t="s">
        <v>43</v>
      </c>
      <c r="C46" s="12" t="n">
        <v>2026</v>
      </c>
      <c r="D46" s="12" t="n">
        <v>2</v>
      </c>
      <c r="E46" s="12" t="s">
        <v>41</v>
      </c>
      <c r="F46" s="12" t="s">
        <v>16</v>
      </c>
      <c r="G46" s="7" t="n">
        <v>46861.7</v>
      </c>
    </row>
    <row r="47" customFormat="false" ht="15" hidden="false" customHeight="false" outlineLevel="0" collapsed="false">
      <c r="A47" s="12" t="s">
        <v>2</v>
      </c>
      <c r="B47" s="12" t="s">
        <v>43</v>
      </c>
      <c r="C47" s="12" t="n">
        <v>2026</v>
      </c>
      <c r="D47" s="12" t="n">
        <v>2</v>
      </c>
      <c r="E47" s="12" t="s">
        <v>42</v>
      </c>
      <c r="F47" s="12" t="s">
        <v>18</v>
      </c>
      <c r="G47" s="7" t="n">
        <v>16115</v>
      </c>
    </row>
    <row r="48" customFormat="false" ht="15" hidden="false" customHeight="false" outlineLevel="0" collapsed="false">
      <c r="A48" s="12" t="s">
        <v>2</v>
      </c>
      <c r="B48" s="12" t="s">
        <v>43</v>
      </c>
      <c r="C48" s="12" t="n">
        <v>2026</v>
      </c>
      <c r="D48" s="12" t="n">
        <v>2</v>
      </c>
      <c r="E48" s="12" t="s">
        <v>42</v>
      </c>
      <c r="F48" s="12" t="s">
        <v>24</v>
      </c>
      <c r="G48" s="7" t="n">
        <v>4766</v>
      </c>
    </row>
    <row r="49" customFormat="false" ht="15" hidden="false" customHeight="false" outlineLevel="0" collapsed="false">
      <c r="A49" s="12" t="s">
        <v>2</v>
      </c>
      <c r="B49" s="12" t="s">
        <v>43</v>
      </c>
      <c r="C49" s="12" t="n">
        <v>2026</v>
      </c>
      <c r="D49" s="12" t="n">
        <v>2</v>
      </c>
      <c r="E49" s="12" t="s">
        <v>42</v>
      </c>
      <c r="F49" s="12" t="s">
        <v>22</v>
      </c>
      <c r="G49" s="7" t="n">
        <v>6839</v>
      </c>
    </row>
    <row r="50" customFormat="false" ht="15" hidden="false" customHeight="false" outlineLevel="0" collapsed="false">
      <c r="A50" s="12" t="s">
        <v>2</v>
      </c>
      <c r="B50" s="12" t="s">
        <v>43</v>
      </c>
      <c r="C50" s="12" t="n">
        <v>2026</v>
      </c>
      <c r="D50" s="12" t="n">
        <v>2</v>
      </c>
      <c r="E50" s="12" t="s">
        <v>42</v>
      </c>
      <c r="F50" s="12" t="s">
        <v>20</v>
      </c>
      <c r="G50" s="7" t="n">
        <v>9276</v>
      </c>
    </row>
    <row r="51" customFormat="false" ht="15" hidden="false" customHeight="false" outlineLevel="0" collapsed="false">
      <c r="A51" s="12" t="s">
        <v>2</v>
      </c>
      <c r="B51" s="12" t="s">
        <v>43</v>
      </c>
      <c r="C51" s="12" t="n">
        <v>2026</v>
      </c>
      <c r="D51" s="12" t="n">
        <v>2</v>
      </c>
      <c r="E51" s="12" t="s">
        <v>42</v>
      </c>
      <c r="F51" s="12" t="s">
        <v>16</v>
      </c>
      <c r="G51" s="7" t="n">
        <v>47861</v>
      </c>
    </row>
    <row r="52" customFormat="false" ht="15" hidden="false" customHeight="false" outlineLevel="0" collapsed="false">
      <c r="A52" s="12" t="s">
        <v>2</v>
      </c>
      <c r="B52" s="12" t="s">
        <v>44</v>
      </c>
      <c r="C52" s="12" t="n">
        <v>2026</v>
      </c>
      <c r="D52" s="12" t="n">
        <v>3</v>
      </c>
      <c r="E52" s="12" t="s">
        <v>41</v>
      </c>
      <c r="F52" s="12" t="s">
        <v>18</v>
      </c>
      <c r="G52" s="7" t="n">
        <v>14206.3</v>
      </c>
    </row>
    <row r="53" customFormat="false" ht="15" hidden="false" customHeight="false" outlineLevel="0" collapsed="false">
      <c r="A53" s="12" t="s">
        <v>2</v>
      </c>
      <c r="B53" s="12" t="s">
        <v>44</v>
      </c>
      <c r="C53" s="12" t="n">
        <v>2026</v>
      </c>
      <c r="D53" s="12" t="n">
        <v>3</v>
      </c>
      <c r="E53" s="12" t="s">
        <v>41</v>
      </c>
      <c r="F53" s="12" t="s">
        <v>24</v>
      </c>
      <c r="G53" s="7" t="n">
        <v>3698.8</v>
      </c>
    </row>
    <row r="54" customFormat="false" ht="15" hidden="false" customHeight="false" outlineLevel="0" collapsed="false">
      <c r="A54" s="12" t="s">
        <v>2</v>
      </c>
      <c r="B54" s="12" t="s">
        <v>44</v>
      </c>
      <c r="C54" s="12" t="n">
        <v>2026</v>
      </c>
      <c r="D54" s="12" t="n">
        <v>3</v>
      </c>
      <c r="E54" s="12" t="s">
        <v>41</v>
      </c>
      <c r="F54" s="12" t="s">
        <v>22</v>
      </c>
      <c r="G54" s="7" t="n">
        <v>5461.2</v>
      </c>
    </row>
    <row r="55" customFormat="false" ht="15" hidden="false" customHeight="false" outlineLevel="0" collapsed="false">
      <c r="A55" s="12" t="s">
        <v>2</v>
      </c>
      <c r="B55" s="12" t="s">
        <v>44</v>
      </c>
      <c r="C55" s="12" t="n">
        <v>2026</v>
      </c>
      <c r="D55" s="12" t="n">
        <v>3</v>
      </c>
      <c r="E55" s="12" t="s">
        <v>41</v>
      </c>
      <c r="F55" s="12" t="s">
        <v>20</v>
      </c>
      <c r="G55" s="7" t="n">
        <v>8745.1</v>
      </c>
    </row>
    <row r="56" customFormat="false" ht="15" hidden="false" customHeight="false" outlineLevel="0" collapsed="false">
      <c r="A56" s="12" t="s">
        <v>2</v>
      </c>
      <c r="B56" s="12" t="s">
        <v>44</v>
      </c>
      <c r="C56" s="12" t="n">
        <v>2026</v>
      </c>
      <c r="D56" s="12" t="n">
        <v>3</v>
      </c>
      <c r="E56" s="12" t="s">
        <v>41</v>
      </c>
      <c r="F56" s="12" t="s">
        <v>16</v>
      </c>
      <c r="G56" s="7" t="n">
        <v>42799.3</v>
      </c>
    </row>
    <row r="57" customFormat="false" ht="15" hidden="false" customHeight="false" outlineLevel="0" collapsed="false">
      <c r="A57" s="12" t="s">
        <v>2</v>
      </c>
      <c r="B57" s="12" t="s">
        <v>44</v>
      </c>
      <c r="C57" s="12" t="n">
        <v>2026</v>
      </c>
      <c r="D57" s="12" t="n">
        <v>3</v>
      </c>
      <c r="E57" s="12" t="s">
        <v>42</v>
      </c>
      <c r="F57" s="12" t="s">
        <v>18</v>
      </c>
      <c r="G57" s="7" t="n">
        <v>14017</v>
      </c>
    </row>
    <row r="58" customFormat="false" ht="15" hidden="false" customHeight="false" outlineLevel="0" collapsed="false">
      <c r="A58" s="12" t="s">
        <v>2</v>
      </c>
      <c r="B58" s="12" t="s">
        <v>44</v>
      </c>
      <c r="C58" s="12" t="n">
        <v>2026</v>
      </c>
      <c r="D58" s="12" t="n">
        <v>3</v>
      </c>
      <c r="E58" s="12" t="s">
        <v>42</v>
      </c>
      <c r="F58" s="12" t="s">
        <v>24</v>
      </c>
      <c r="G58" s="7" t="n">
        <v>3530.4</v>
      </c>
    </row>
    <row r="59" customFormat="false" ht="15" hidden="false" customHeight="false" outlineLevel="0" collapsed="false">
      <c r="A59" s="12" t="s">
        <v>2</v>
      </c>
      <c r="B59" s="12" t="s">
        <v>44</v>
      </c>
      <c r="C59" s="12" t="n">
        <v>2026</v>
      </c>
      <c r="D59" s="12" t="n">
        <v>3</v>
      </c>
      <c r="E59" s="12" t="s">
        <v>42</v>
      </c>
      <c r="F59" s="12" t="s">
        <v>22</v>
      </c>
      <c r="G59" s="7" t="n">
        <v>5238.7</v>
      </c>
    </row>
    <row r="60" customFormat="false" ht="15" hidden="false" customHeight="false" outlineLevel="0" collapsed="false">
      <c r="A60" s="12" t="s">
        <v>2</v>
      </c>
      <c r="B60" s="12" t="s">
        <v>44</v>
      </c>
      <c r="C60" s="12" t="n">
        <v>2026</v>
      </c>
      <c r="D60" s="12" t="n">
        <v>3</v>
      </c>
      <c r="E60" s="12" t="s">
        <v>42</v>
      </c>
      <c r="F60" s="12" t="s">
        <v>20</v>
      </c>
      <c r="G60" s="7" t="n">
        <v>8778.3</v>
      </c>
    </row>
    <row r="61" customFormat="false" ht="15" hidden="false" customHeight="false" outlineLevel="0" collapsed="false">
      <c r="A61" s="12" t="s">
        <v>2</v>
      </c>
      <c r="B61" s="12" t="s">
        <v>44</v>
      </c>
      <c r="C61" s="12" t="n">
        <v>2026</v>
      </c>
      <c r="D61" s="12" t="n">
        <v>3</v>
      </c>
      <c r="E61" s="12" t="s">
        <v>42</v>
      </c>
      <c r="F61" s="12" t="s">
        <v>16</v>
      </c>
      <c r="G61" s="7" t="n">
        <v>42233.8</v>
      </c>
    </row>
    <row r="62" customFormat="false" ht="15" hidden="false" customHeight="false" outlineLevel="0" collapsed="false">
      <c r="A62" s="12" t="s">
        <v>2</v>
      </c>
      <c r="B62" s="12" t="s">
        <v>45</v>
      </c>
      <c r="C62" s="12" t="n">
        <v>2026</v>
      </c>
      <c r="D62" s="12" t="n">
        <v>4</v>
      </c>
      <c r="E62" s="12" t="s">
        <v>41</v>
      </c>
      <c r="F62" s="12" t="s">
        <v>18</v>
      </c>
      <c r="G62" s="7" t="n">
        <v>12817.1</v>
      </c>
    </row>
    <row r="63" customFormat="false" ht="15" hidden="false" customHeight="false" outlineLevel="0" collapsed="false">
      <c r="A63" s="12" t="s">
        <v>2</v>
      </c>
      <c r="B63" s="12" t="s">
        <v>45</v>
      </c>
      <c r="C63" s="12" t="n">
        <v>2026</v>
      </c>
      <c r="D63" s="12" t="n">
        <v>4</v>
      </c>
      <c r="E63" s="12" t="s">
        <v>41</v>
      </c>
      <c r="F63" s="12" t="s">
        <v>24</v>
      </c>
      <c r="G63" s="7" t="n">
        <v>2525</v>
      </c>
    </row>
    <row r="64" customFormat="false" ht="15" hidden="false" customHeight="false" outlineLevel="0" collapsed="false">
      <c r="A64" s="12" t="s">
        <v>2</v>
      </c>
      <c r="B64" s="12" t="s">
        <v>45</v>
      </c>
      <c r="C64" s="12" t="n">
        <v>2026</v>
      </c>
      <c r="D64" s="12" t="n">
        <v>4</v>
      </c>
      <c r="E64" s="12" t="s">
        <v>41</v>
      </c>
      <c r="F64" s="12" t="s">
        <v>22</v>
      </c>
      <c r="G64" s="7" t="n">
        <v>3910.6</v>
      </c>
    </row>
    <row r="65" customFormat="false" ht="15" hidden="false" customHeight="false" outlineLevel="0" collapsed="false">
      <c r="A65" s="12" t="s">
        <v>2</v>
      </c>
      <c r="B65" s="12" t="s">
        <v>45</v>
      </c>
      <c r="C65" s="12" t="n">
        <v>2026</v>
      </c>
      <c r="D65" s="12" t="n">
        <v>4</v>
      </c>
      <c r="E65" s="12" t="s">
        <v>41</v>
      </c>
      <c r="F65" s="12" t="s">
        <v>20</v>
      </c>
      <c r="G65" s="7" t="n">
        <v>8906.5</v>
      </c>
    </row>
    <row r="66" customFormat="false" ht="15" hidden="false" customHeight="false" outlineLevel="0" collapsed="false">
      <c r="A66" s="12" t="s">
        <v>2</v>
      </c>
      <c r="B66" s="12" t="s">
        <v>45</v>
      </c>
      <c r="C66" s="12" t="n">
        <v>2026</v>
      </c>
      <c r="D66" s="12" t="n">
        <v>4</v>
      </c>
      <c r="E66" s="12" t="s">
        <v>41</v>
      </c>
      <c r="F66" s="12" t="s">
        <v>16</v>
      </c>
      <c r="G66" s="7" t="n">
        <v>39534.9</v>
      </c>
    </row>
    <row r="67" customFormat="false" ht="15" hidden="false" customHeight="false" outlineLevel="0" collapsed="false">
      <c r="A67" s="12" t="s">
        <v>2</v>
      </c>
      <c r="B67" s="12" t="s">
        <v>45</v>
      </c>
      <c r="C67" s="12" t="n">
        <v>2026</v>
      </c>
      <c r="D67" s="12" t="n">
        <v>4</v>
      </c>
      <c r="E67" s="12" t="s">
        <v>42</v>
      </c>
      <c r="F67" s="12" t="s">
        <v>18</v>
      </c>
      <c r="G67" s="7" t="n">
        <v>12506.1</v>
      </c>
    </row>
    <row r="68" customFormat="false" ht="15" hidden="false" customHeight="false" outlineLevel="0" collapsed="false">
      <c r="A68" s="12" t="s">
        <v>2</v>
      </c>
      <c r="B68" s="12" t="s">
        <v>45</v>
      </c>
      <c r="C68" s="12" t="n">
        <v>2026</v>
      </c>
      <c r="D68" s="12" t="n">
        <v>4</v>
      </c>
      <c r="E68" s="12" t="s">
        <v>42</v>
      </c>
      <c r="F68" s="12" t="s">
        <v>24</v>
      </c>
      <c r="G68" s="7" t="n">
        <v>2349.6</v>
      </c>
    </row>
    <row r="69" customFormat="false" ht="15" hidden="false" customHeight="false" outlineLevel="0" collapsed="false">
      <c r="A69" s="12" t="s">
        <v>2</v>
      </c>
      <c r="B69" s="12" t="s">
        <v>45</v>
      </c>
      <c r="C69" s="12" t="n">
        <v>2026</v>
      </c>
      <c r="D69" s="12" t="n">
        <v>4</v>
      </c>
      <c r="E69" s="12" t="s">
        <v>42</v>
      </c>
      <c r="F69" s="12" t="s">
        <v>22</v>
      </c>
      <c r="G69" s="7" t="n">
        <v>3678.8</v>
      </c>
    </row>
    <row r="70" customFormat="false" ht="15" hidden="false" customHeight="false" outlineLevel="0" collapsed="false">
      <c r="A70" s="12" t="s">
        <v>2</v>
      </c>
      <c r="B70" s="12" t="s">
        <v>45</v>
      </c>
      <c r="C70" s="12" t="n">
        <v>2026</v>
      </c>
      <c r="D70" s="12" t="n">
        <v>4</v>
      </c>
      <c r="E70" s="12" t="s">
        <v>42</v>
      </c>
      <c r="F70" s="12" t="s">
        <v>20</v>
      </c>
      <c r="G70" s="7" t="n">
        <v>8827.3</v>
      </c>
    </row>
    <row r="71" customFormat="false" ht="15" hidden="false" customHeight="false" outlineLevel="0" collapsed="false">
      <c r="A71" s="12" t="s">
        <v>2</v>
      </c>
      <c r="B71" s="12" t="s">
        <v>45</v>
      </c>
      <c r="C71" s="12" t="n">
        <v>2026</v>
      </c>
      <c r="D71" s="12" t="n">
        <v>4</v>
      </c>
      <c r="E71" s="12" t="s">
        <v>42</v>
      </c>
      <c r="F71" s="12" t="s">
        <v>16</v>
      </c>
      <c r="G71" s="7" t="n">
        <v>38580</v>
      </c>
    </row>
    <row r="72" customFormat="false" ht="15" hidden="false" customHeight="false" outlineLevel="0" collapsed="false">
      <c r="A72" s="12" t="s">
        <v>46</v>
      </c>
      <c r="B72" s="12" t="s">
        <v>35</v>
      </c>
      <c r="C72" s="12" t="n">
        <v>2025</v>
      </c>
      <c r="D72" s="12" t="n">
        <v>1</v>
      </c>
      <c r="E72" s="12" t="s">
        <v>36</v>
      </c>
      <c r="F72" s="12" t="s">
        <v>18</v>
      </c>
      <c r="G72" s="7" t="n">
        <v>6986</v>
      </c>
    </row>
    <row r="73" customFormat="false" ht="15" hidden="false" customHeight="false" outlineLevel="0" collapsed="false">
      <c r="A73" s="12" t="s">
        <v>46</v>
      </c>
      <c r="B73" s="12" t="s">
        <v>35</v>
      </c>
      <c r="C73" s="12" t="n">
        <v>2025</v>
      </c>
      <c r="D73" s="12" t="n">
        <v>1</v>
      </c>
      <c r="E73" s="12" t="s">
        <v>36</v>
      </c>
      <c r="F73" s="12" t="s">
        <v>24</v>
      </c>
      <c r="G73" s="7" t="n">
        <v>1641</v>
      </c>
    </row>
    <row r="74" customFormat="false" ht="15" hidden="false" customHeight="false" outlineLevel="0" collapsed="false">
      <c r="A74" s="12" t="s">
        <v>46</v>
      </c>
      <c r="B74" s="12" t="s">
        <v>35</v>
      </c>
      <c r="C74" s="12" t="n">
        <v>2025</v>
      </c>
      <c r="D74" s="12" t="n">
        <v>1</v>
      </c>
      <c r="E74" s="12" t="s">
        <v>36</v>
      </c>
      <c r="F74" s="12" t="s">
        <v>22</v>
      </c>
      <c r="G74" s="7" t="n">
        <v>2494</v>
      </c>
    </row>
    <row r="75" customFormat="false" ht="15" hidden="false" customHeight="false" outlineLevel="0" collapsed="false">
      <c r="A75" s="12" t="s">
        <v>46</v>
      </c>
      <c r="B75" s="12" t="s">
        <v>35</v>
      </c>
      <c r="C75" s="12" t="n">
        <v>2025</v>
      </c>
      <c r="D75" s="12" t="n">
        <v>1</v>
      </c>
      <c r="E75" s="12" t="s">
        <v>36</v>
      </c>
      <c r="F75" s="12" t="s">
        <v>20</v>
      </c>
      <c r="G75" s="7" t="n">
        <v>4492</v>
      </c>
    </row>
    <row r="76" customFormat="false" ht="15" hidden="false" customHeight="false" outlineLevel="0" collapsed="false">
      <c r="A76" s="12" t="s">
        <v>46</v>
      </c>
      <c r="B76" s="12" t="s">
        <v>35</v>
      </c>
      <c r="C76" s="12" t="n">
        <v>2025</v>
      </c>
      <c r="D76" s="12" t="n">
        <v>1</v>
      </c>
      <c r="E76" s="12" t="s">
        <v>36</v>
      </c>
      <c r="F76" s="12" t="s">
        <v>16</v>
      </c>
      <c r="G76" s="7" t="n">
        <v>20930</v>
      </c>
    </row>
    <row r="77" customFormat="false" ht="15" hidden="false" customHeight="false" outlineLevel="0" collapsed="false">
      <c r="A77" s="12" t="s">
        <v>46</v>
      </c>
      <c r="B77" s="12" t="s">
        <v>37</v>
      </c>
      <c r="C77" s="12" t="n">
        <v>2025</v>
      </c>
      <c r="D77" s="12" t="n">
        <v>2</v>
      </c>
      <c r="E77" s="12" t="s">
        <v>36</v>
      </c>
      <c r="F77" s="12" t="s">
        <v>18</v>
      </c>
      <c r="G77" s="7" t="n">
        <v>8101</v>
      </c>
    </row>
    <row r="78" customFormat="false" ht="15" hidden="false" customHeight="false" outlineLevel="0" collapsed="false">
      <c r="A78" s="12" t="s">
        <v>46</v>
      </c>
      <c r="B78" s="12" t="s">
        <v>37</v>
      </c>
      <c r="C78" s="12" t="n">
        <v>2025</v>
      </c>
      <c r="D78" s="12" t="n">
        <v>2</v>
      </c>
      <c r="E78" s="12" t="s">
        <v>36</v>
      </c>
      <c r="F78" s="12" t="s">
        <v>24</v>
      </c>
      <c r="G78" s="7" t="n">
        <v>2398</v>
      </c>
    </row>
    <row r="79" customFormat="false" ht="15" hidden="false" customHeight="false" outlineLevel="0" collapsed="false">
      <c r="A79" s="12" t="s">
        <v>46</v>
      </c>
      <c r="B79" s="12" t="s">
        <v>37</v>
      </c>
      <c r="C79" s="12" t="n">
        <v>2025</v>
      </c>
      <c r="D79" s="12" t="n">
        <v>2</v>
      </c>
      <c r="E79" s="12" t="s">
        <v>36</v>
      </c>
      <c r="F79" s="12" t="s">
        <v>22</v>
      </c>
      <c r="G79" s="7" t="n">
        <v>3469</v>
      </c>
    </row>
    <row r="80" customFormat="false" ht="15" hidden="false" customHeight="false" outlineLevel="0" collapsed="false">
      <c r="A80" s="12" t="s">
        <v>46</v>
      </c>
      <c r="B80" s="12" t="s">
        <v>37</v>
      </c>
      <c r="C80" s="12" t="n">
        <v>2025</v>
      </c>
      <c r="D80" s="12" t="n">
        <v>2</v>
      </c>
      <c r="E80" s="12" t="s">
        <v>36</v>
      </c>
      <c r="F80" s="12" t="s">
        <v>20</v>
      </c>
      <c r="G80" s="7" t="n">
        <v>4632</v>
      </c>
    </row>
    <row r="81" customFormat="false" ht="15" hidden="false" customHeight="false" outlineLevel="0" collapsed="false">
      <c r="A81" s="12" t="s">
        <v>46</v>
      </c>
      <c r="B81" s="12" t="s">
        <v>37</v>
      </c>
      <c r="C81" s="12" t="n">
        <v>2025</v>
      </c>
      <c r="D81" s="12" t="n">
        <v>2</v>
      </c>
      <c r="E81" s="12" t="s">
        <v>36</v>
      </c>
      <c r="F81" s="12" t="s">
        <v>16</v>
      </c>
      <c r="G81" s="7" t="n">
        <v>23959</v>
      </c>
    </row>
    <row r="82" customFormat="false" ht="15" hidden="false" customHeight="false" outlineLevel="0" collapsed="false">
      <c r="A82" s="12" t="s">
        <v>46</v>
      </c>
      <c r="B82" s="12" t="s">
        <v>38</v>
      </c>
      <c r="C82" s="12" t="n">
        <v>2025</v>
      </c>
      <c r="D82" s="12" t="n">
        <v>3</v>
      </c>
      <c r="E82" s="12" t="s">
        <v>36</v>
      </c>
      <c r="F82" s="12" t="s">
        <v>18</v>
      </c>
      <c r="G82" s="7" t="n">
        <v>7116</v>
      </c>
    </row>
    <row r="83" customFormat="false" ht="15" hidden="false" customHeight="false" outlineLevel="0" collapsed="false">
      <c r="A83" s="12" t="s">
        <v>46</v>
      </c>
      <c r="B83" s="12" t="s">
        <v>38</v>
      </c>
      <c r="C83" s="12" t="n">
        <v>2025</v>
      </c>
      <c r="D83" s="12" t="n">
        <v>3</v>
      </c>
      <c r="E83" s="12" t="s">
        <v>36</v>
      </c>
      <c r="F83" s="12" t="s">
        <v>24</v>
      </c>
      <c r="G83" s="7" t="n">
        <v>1616</v>
      </c>
    </row>
    <row r="84" customFormat="false" ht="15" hidden="false" customHeight="false" outlineLevel="0" collapsed="false">
      <c r="A84" s="12" t="s">
        <v>46</v>
      </c>
      <c r="B84" s="12" t="s">
        <v>38</v>
      </c>
      <c r="C84" s="12" t="n">
        <v>2025</v>
      </c>
      <c r="D84" s="12" t="n">
        <v>3</v>
      </c>
      <c r="E84" s="12" t="s">
        <v>36</v>
      </c>
      <c r="F84" s="12" t="s">
        <v>22</v>
      </c>
      <c r="G84" s="7" t="n">
        <v>2481</v>
      </c>
    </row>
    <row r="85" customFormat="false" ht="15" hidden="false" customHeight="false" outlineLevel="0" collapsed="false">
      <c r="A85" s="12" t="s">
        <v>46</v>
      </c>
      <c r="B85" s="12" t="s">
        <v>38</v>
      </c>
      <c r="C85" s="12" t="n">
        <v>2025</v>
      </c>
      <c r="D85" s="12" t="n">
        <v>3</v>
      </c>
      <c r="E85" s="12" t="s">
        <v>36</v>
      </c>
      <c r="F85" s="12" t="s">
        <v>20</v>
      </c>
      <c r="G85" s="7" t="n">
        <v>4635</v>
      </c>
    </row>
    <row r="86" customFormat="false" ht="15" hidden="false" customHeight="false" outlineLevel="0" collapsed="false">
      <c r="A86" s="12" t="s">
        <v>46</v>
      </c>
      <c r="B86" s="12" t="s">
        <v>38</v>
      </c>
      <c r="C86" s="12" t="n">
        <v>2025</v>
      </c>
      <c r="D86" s="12" t="n">
        <v>3</v>
      </c>
      <c r="E86" s="12" t="s">
        <v>36</v>
      </c>
      <c r="F86" s="12" t="s">
        <v>16</v>
      </c>
      <c r="G86" s="7" t="n">
        <v>20813</v>
      </c>
    </row>
    <row r="87" customFormat="false" ht="15" hidden="false" customHeight="false" outlineLevel="0" collapsed="false">
      <c r="A87" s="12" t="s">
        <v>46</v>
      </c>
      <c r="B87" s="12" t="s">
        <v>39</v>
      </c>
      <c r="C87" s="12" t="n">
        <v>2025</v>
      </c>
      <c r="D87" s="12" t="n">
        <v>4</v>
      </c>
      <c r="E87" s="12" t="s">
        <v>36</v>
      </c>
      <c r="F87" s="12" t="s">
        <v>18</v>
      </c>
      <c r="G87" s="7" t="n">
        <v>6681</v>
      </c>
    </row>
    <row r="88" customFormat="false" ht="15" hidden="false" customHeight="false" outlineLevel="0" collapsed="false">
      <c r="A88" s="12" t="s">
        <v>46</v>
      </c>
      <c r="B88" s="12" t="s">
        <v>39</v>
      </c>
      <c r="C88" s="12" t="n">
        <v>2025</v>
      </c>
      <c r="D88" s="12" t="n">
        <v>4</v>
      </c>
      <c r="E88" s="12" t="s">
        <v>36</v>
      </c>
      <c r="F88" s="12" t="s">
        <v>24</v>
      </c>
      <c r="G88" s="7" t="n">
        <v>1000</v>
      </c>
    </row>
    <row r="89" customFormat="false" ht="15" hidden="false" customHeight="false" outlineLevel="0" collapsed="false">
      <c r="A89" s="12" t="s">
        <v>46</v>
      </c>
      <c r="B89" s="12" t="s">
        <v>39</v>
      </c>
      <c r="C89" s="12" t="n">
        <v>2025</v>
      </c>
      <c r="D89" s="12" t="n">
        <v>4</v>
      </c>
      <c r="E89" s="12" t="s">
        <v>36</v>
      </c>
      <c r="F89" s="12" t="s">
        <v>22</v>
      </c>
      <c r="G89" s="7" t="n">
        <v>1708</v>
      </c>
    </row>
    <row r="90" customFormat="false" ht="15" hidden="false" customHeight="false" outlineLevel="0" collapsed="false">
      <c r="A90" s="12" t="s">
        <v>46</v>
      </c>
      <c r="B90" s="12" t="s">
        <v>39</v>
      </c>
      <c r="C90" s="12" t="n">
        <v>2025</v>
      </c>
      <c r="D90" s="12" t="n">
        <v>4</v>
      </c>
      <c r="E90" s="12" t="s">
        <v>36</v>
      </c>
      <c r="F90" s="12" t="s">
        <v>20</v>
      </c>
      <c r="G90" s="7" t="n">
        <v>4973</v>
      </c>
    </row>
    <row r="91" customFormat="false" ht="15" hidden="false" customHeight="false" outlineLevel="0" collapsed="false">
      <c r="A91" s="12" t="s">
        <v>46</v>
      </c>
      <c r="B91" s="12" t="s">
        <v>39</v>
      </c>
      <c r="C91" s="12" t="n">
        <v>2025</v>
      </c>
      <c r="D91" s="12" t="n">
        <v>4</v>
      </c>
      <c r="E91" s="12" t="s">
        <v>36</v>
      </c>
      <c r="F91" s="12" t="s">
        <v>16</v>
      </c>
      <c r="G91" s="7" t="n">
        <v>20585</v>
      </c>
    </row>
    <row r="92" customFormat="false" ht="15" hidden="false" customHeight="false" outlineLevel="0" collapsed="false">
      <c r="A92" s="12" t="s">
        <v>46</v>
      </c>
      <c r="B92" s="12" t="s">
        <v>40</v>
      </c>
      <c r="C92" s="12" t="n">
        <v>2026</v>
      </c>
      <c r="D92" s="12" t="n">
        <v>1</v>
      </c>
      <c r="E92" s="12" t="s">
        <v>36</v>
      </c>
      <c r="F92" s="12" t="s">
        <v>18</v>
      </c>
      <c r="G92" s="7" t="n">
        <v>7543</v>
      </c>
    </row>
    <row r="93" customFormat="false" ht="15" hidden="false" customHeight="false" outlineLevel="0" collapsed="false">
      <c r="A93" s="12" t="s">
        <v>46</v>
      </c>
      <c r="B93" s="12" t="s">
        <v>40</v>
      </c>
      <c r="C93" s="12" t="n">
        <v>2026</v>
      </c>
      <c r="D93" s="12" t="n">
        <v>1</v>
      </c>
      <c r="E93" s="12" t="s">
        <v>36</v>
      </c>
      <c r="F93" s="12" t="s">
        <v>24</v>
      </c>
      <c r="G93" s="7" t="n">
        <v>1628</v>
      </c>
    </row>
    <row r="94" customFormat="false" ht="15" hidden="false" customHeight="false" outlineLevel="0" collapsed="false">
      <c r="A94" s="12" t="s">
        <v>46</v>
      </c>
      <c r="B94" s="12" t="s">
        <v>40</v>
      </c>
      <c r="C94" s="12" t="n">
        <v>2026</v>
      </c>
      <c r="D94" s="12" t="n">
        <v>1</v>
      </c>
      <c r="E94" s="12" t="s">
        <v>36</v>
      </c>
      <c r="F94" s="12" t="s">
        <v>22</v>
      </c>
      <c r="G94" s="7" t="n">
        <v>2554</v>
      </c>
    </row>
    <row r="95" customFormat="false" ht="15" hidden="false" customHeight="false" outlineLevel="0" collapsed="false">
      <c r="A95" s="12" t="s">
        <v>46</v>
      </c>
      <c r="B95" s="12" t="s">
        <v>40</v>
      </c>
      <c r="C95" s="12" t="n">
        <v>2026</v>
      </c>
      <c r="D95" s="12" t="n">
        <v>1</v>
      </c>
      <c r="E95" s="12" t="s">
        <v>36</v>
      </c>
      <c r="F95" s="12" t="s">
        <v>20</v>
      </c>
      <c r="G95" s="7" t="n">
        <v>4989</v>
      </c>
    </row>
    <row r="96" customFormat="false" ht="15" hidden="false" customHeight="false" outlineLevel="0" collapsed="false">
      <c r="A96" s="12" t="s">
        <v>46</v>
      </c>
      <c r="B96" s="12" t="s">
        <v>40</v>
      </c>
      <c r="C96" s="12" t="n">
        <v>2026</v>
      </c>
      <c r="D96" s="12" t="n">
        <v>1</v>
      </c>
      <c r="E96" s="12" t="s">
        <v>36</v>
      </c>
      <c r="F96" s="12" t="s">
        <v>16</v>
      </c>
      <c r="G96" s="7" t="n">
        <v>23078</v>
      </c>
    </row>
    <row r="97" customFormat="false" ht="15" hidden="false" customHeight="false" outlineLevel="0" collapsed="false">
      <c r="A97" s="12" t="s">
        <v>46</v>
      </c>
      <c r="B97" s="12" t="s">
        <v>40</v>
      </c>
      <c r="C97" s="12" t="n">
        <v>2026</v>
      </c>
      <c r="D97" s="12" t="n">
        <v>1</v>
      </c>
      <c r="E97" s="12" t="s">
        <v>41</v>
      </c>
      <c r="F97" s="12" t="s">
        <v>18</v>
      </c>
      <c r="G97" s="7" t="n">
        <v>7529.5</v>
      </c>
    </row>
    <row r="98" customFormat="false" ht="15" hidden="false" customHeight="false" outlineLevel="0" collapsed="false">
      <c r="A98" s="12" t="s">
        <v>46</v>
      </c>
      <c r="B98" s="12" t="s">
        <v>40</v>
      </c>
      <c r="C98" s="12" t="n">
        <v>2026</v>
      </c>
      <c r="D98" s="12" t="n">
        <v>1</v>
      </c>
      <c r="E98" s="12" t="s">
        <v>41</v>
      </c>
      <c r="F98" s="12" t="s">
        <v>24</v>
      </c>
      <c r="G98" s="7" t="n">
        <v>1648.2</v>
      </c>
    </row>
    <row r="99" customFormat="false" ht="15" hidden="false" customHeight="false" outlineLevel="0" collapsed="false">
      <c r="A99" s="12" t="s">
        <v>46</v>
      </c>
      <c r="B99" s="12" t="s">
        <v>40</v>
      </c>
      <c r="C99" s="12" t="n">
        <v>2026</v>
      </c>
      <c r="D99" s="12" t="n">
        <v>1</v>
      </c>
      <c r="E99" s="12" t="s">
        <v>41</v>
      </c>
      <c r="F99" s="12" t="s">
        <v>22</v>
      </c>
      <c r="G99" s="7" t="n">
        <v>2583</v>
      </c>
    </row>
    <row r="100" customFormat="false" ht="15" hidden="false" customHeight="false" outlineLevel="0" collapsed="false">
      <c r="A100" s="12" t="s">
        <v>46</v>
      </c>
      <c r="B100" s="12" t="s">
        <v>40</v>
      </c>
      <c r="C100" s="12" t="n">
        <v>2026</v>
      </c>
      <c r="D100" s="12" t="n">
        <v>1</v>
      </c>
      <c r="E100" s="12" t="s">
        <v>41</v>
      </c>
      <c r="F100" s="12" t="s">
        <v>20</v>
      </c>
      <c r="G100" s="7" t="n">
        <v>4946.5</v>
      </c>
    </row>
    <row r="101" customFormat="false" ht="15" hidden="false" customHeight="false" outlineLevel="0" collapsed="false">
      <c r="A101" s="12" t="s">
        <v>46</v>
      </c>
      <c r="B101" s="12" t="s">
        <v>40</v>
      </c>
      <c r="C101" s="12" t="n">
        <v>2026</v>
      </c>
      <c r="D101" s="12" t="n">
        <v>1</v>
      </c>
      <c r="E101" s="12" t="s">
        <v>41</v>
      </c>
      <c r="F101" s="12" t="s">
        <v>16</v>
      </c>
      <c r="G101" s="7" t="n">
        <v>22558.3</v>
      </c>
    </row>
    <row r="102" customFormat="false" ht="15" hidden="false" customHeight="false" outlineLevel="0" collapsed="false">
      <c r="A102" s="12" t="s">
        <v>46</v>
      </c>
      <c r="B102" s="12" t="s">
        <v>40</v>
      </c>
      <c r="C102" s="12" t="n">
        <v>2026</v>
      </c>
      <c r="D102" s="12" t="n">
        <v>1</v>
      </c>
      <c r="E102" s="12" t="s">
        <v>42</v>
      </c>
      <c r="F102" s="12" t="s">
        <v>18</v>
      </c>
      <c r="G102" s="7" t="n">
        <v>7543</v>
      </c>
    </row>
    <row r="103" customFormat="false" ht="15" hidden="false" customHeight="false" outlineLevel="0" collapsed="false">
      <c r="A103" s="12" t="s">
        <v>46</v>
      </c>
      <c r="B103" s="12" t="s">
        <v>40</v>
      </c>
      <c r="C103" s="12" t="n">
        <v>2026</v>
      </c>
      <c r="D103" s="12" t="n">
        <v>1</v>
      </c>
      <c r="E103" s="12" t="s">
        <v>42</v>
      </c>
      <c r="F103" s="12" t="s">
        <v>24</v>
      </c>
      <c r="G103" s="7" t="n">
        <v>1628</v>
      </c>
    </row>
    <row r="104" customFormat="false" ht="15" hidden="false" customHeight="false" outlineLevel="0" collapsed="false">
      <c r="A104" s="12" t="s">
        <v>46</v>
      </c>
      <c r="B104" s="12" t="s">
        <v>40</v>
      </c>
      <c r="C104" s="12" t="n">
        <v>2026</v>
      </c>
      <c r="D104" s="12" t="n">
        <v>1</v>
      </c>
      <c r="E104" s="12" t="s">
        <v>42</v>
      </c>
      <c r="F104" s="12" t="s">
        <v>22</v>
      </c>
      <c r="G104" s="7" t="n">
        <v>2554</v>
      </c>
    </row>
    <row r="105" customFormat="false" ht="15" hidden="false" customHeight="false" outlineLevel="0" collapsed="false">
      <c r="A105" s="12" t="s">
        <v>46</v>
      </c>
      <c r="B105" s="12" t="s">
        <v>40</v>
      </c>
      <c r="C105" s="12" t="n">
        <v>2026</v>
      </c>
      <c r="D105" s="12" t="n">
        <v>1</v>
      </c>
      <c r="E105" s="12" t="s">
        <v>42</v>
      </c>
      <c r="F105" s="12" t="s">
        <v>20</v>
      </c>
      <c r="G105" s="7" t="n">
        <v>4989</v>
      </c>
    </row>
    <row r="106" customFormat="false" ht="15" hidden="false" customHeight="false" outlineLevel="0" collapsed="false">
      <c r="A106" s="12" t="s">
        <v>46</v>
      </c>
      <c r="B106" s="12" t="s">
        <v>40</v>
      </c>
      <c r="C106" s="12" t="n">
        <v>2026</v>
      </c>
      <c r="D106" s="12" t="n">
        <v>1</v>
      </c>
      <c r="E106" s="12" t="s">
        <v>42</v>
      </c>
      <c r="F106" s="12" t="s">
        <v>16</v>
      </c>
      <c r="G106" s="7" t="n">
        <v>23078</v>
      </c>
    </row>
    <row r="107" customFormat="false" ht="15" hidden="false" customHeight="false" outlineLevel="0" collapsed="false">
      <c r="A107" s="12" t="s">
        <v>46</v>
      </c>
      <c r="B107" s="12" t="s">
        <v>43</v>
      </c>
      <c r="C107" s="12" t="n">
        <v>2026</v>
      </c>
      <c r="D107" s="12" t="n">
        <v>2</v>
      </c>
      <c r="E107" s="12" t="s">
        <v>36</v>
      </c>
      <c r="F107" s="12" t="s">
        <v>18</v>
      </c>
      <c r="G107" s="7" t="n">
        <v>8577</v>
      </c>
    </row>
    <row r="108" customFormat="false" ht="15" hidden="false" customHeight="false" outlineLevel="0" collapsed="false">
      <c r="A108" s="12" t="s">
        <v>46</v>
      </c>
      <c r="B108" s="12" t="s">
        <v>43</v>
      </c>
      <c r="C108" s="12" t="n">
        <v>2026</v>
      </c>
      <c r="D108" s="12" t="n">
        <v>2</v>
      </c>
      <c r="E108" s="12" t="s">
        <v>36</v>
      </c>
      <c r="F108" s="12" t="s">
        <v>24</v>
      </c>
      <c r="G108" s="7" t="n">
        <v>2399</v>
      </c>
    </row>
    <row r="109" customFormat="false" ht="15" hidden="false" customHeight="false" outlineLevel="0" collapsed="false">
      <c r="A109" s="12" t="s">
        <v>46</v>
      </c>
      <c r="B109" s="12" t="s">
        <v>43</v>
      </c>
      <c r="C109" s="12" t="n">
        <v>2026</v>
      </c>
      <c r="D109" s="12" t="n">
        <v>2</v>
      </c>
      <c r="E109" s="12" t="s">
        <v>36</v>
      </c>
      <c r="F109" s="12" t="s">
        <v>22</v>
      </c>
      <c r="G109" s="7" t="n">
        <v>3549</v>
      </c>
    </row>
    <row r="110" customFormat="false" ht="15" hidden="false" customHeight="false" outlineLevel="0" collapsed="false">
      <c r="A110" s="12" t="s">
        <v>46</v>
      </c>
      <c r="B110" s="12" t="s">
        <v>43</v>
      </c>
      <c r="C110" s="12" t="n">
        <v>2026</v>
      </c>
      <c r="D110" s="12" t="n">
        <v>2</v>
      </c>
      <c r="E110" s="12" t="s">
        <v>36</v>
      </c>
      <c r="F110" s="12" t="s">
        <v>20</v>
      </c>
      <c r="G110" s="7" t="n">
        <v>5028</v>
      </c>
    </row>
    <row r="111" customFormat="false" ht="15" hidden="false" customHeight="false" outlineLevel="0" collapsed="false">
      <c r="A111" s="12" t="s">
        <v>46</v>
      </c>
      <c r="B111" s="12" t="s">
        <v>43</v>
      </c>
      <c r="C111" s="12" t="n">
        <v>2026</v>
      </c>
      <c r="D111" s="12" t="n">
        <v>2</v>
      </c>
      <c r="E111" s="12" t="s">
        <v>36</v>
      </c>
      <c r="F111" s="12" t="s">
        <v>16</v>
      </c>
      <c r="G111" s="7" t="n">
        <v>25956</v>
      </c>
    </row>
    <row r="112" customFormat="false" ht="15" hidden="false" customHeight="false" outlineLevel="0" collapsed="false">
      <c r="A112" s="12" t="s">
        <v>46</v>
      </c>
      <c r="B112" s="12" t="s">
        <v>43</v>
      </c>
      <c r="C112" s="12" t="n">
        <v>2026</v>
      </c>
      <c r="D112" s="12" t="n">
        <v>2</v>
      </c>
      <c r="E112" s="12" t="s">
        <v>41</v>
      </c>
      <c r="F112" s="12" t="s">
        <v>18</v>
      </c>
      <c r="G112" s="7" t="n">
        <v>8731.2</v>
      </c>
    </row>
    <row r="113" customFormat="false" ht="15" hidden="false" customHeight="false" outlineLevel="0" collapsed="false">
      <c r="A113" s="12" t="s">
        <v>46</v>
      </c>
      <c r="B113" s="12" t="s">
        <v>43</v>
      </c>
      <c r="C113" s="12" t="n">
        <v>2026</v>
      </c>
      <c r="D113" s="12" t="n">
        <v>2</v>
      </c>
      <c r="E113" s="12" t="s">
        <v>41</v>
      </c>
      <c r="F113" s="12" t="s">
        <v>24</v>
      </c>
      <c r="G113" s="7" t="n">
        <v>2430.1</v>
      </c>
    </row>
    <row r="114" customFormat="false" ht="15" hidden="false" customHeight="false" outlineLevel="0" collapsed="false">
      <c r="A114" s="12" t="s">
        <v>46</v>
      </c>
      <c r="B114" s="12" t="s">
        <v>43</v>
      </c>
      <c r="C114" s="12" t="n">
        <v>2026</v>
      </c>
      <c r="D114" s="12" t="n">
        <v>2</v>
      </c>
      <c r="E114" s="12" t="s">
        <v>41</v>
      </c>
      <c r="F114" s="12" t="s">
        <v>22</v>
      </c>
      <c r="G114" s="7" t="n">
        <v>3618.7</v>
      </c>
    </row>
    <row r="115" customFormat="false" ht="15" hidden="false" customHeight="false" outlineLevel="0" collapsed="false">
      <c r="A115" s="12" t="s">
        <v>46</v>
      </c>
      <c r="B115" s="12" t="s">
        <v>43</v>
      </c>
      <c r="C115" s="12" t="n">
        <v>2026</v>
      </c>
      <c r="D115" s="12" t="n">
        <v>2</v>
      </c>
      <c r="E115" s="12" t="s">
        <v>41</v>
      </c>
      <c r="F115" s="12" t="s">
        <v>20</v>
      </c>
      <c r="G115" s="7" t="n">
        <v>5112.5</v>
      </c>
    </row>
    <row r="116" customFormat="false" ht="15" hidden="false" customHeight="false" outlineLevel="0" collapsed="false">
      <c r="A116" s="12" t="s">
        <v>46</v>
      </c>
      <c r="B116" s="12" t="s">
        <v>43</v>
      </c>
      <c r="C116" s="12" t="n">
        <v>2026</v>
      </c>
      <c r="D116" s="12" t="n">
        <v>2</v>
      </c>
      <c r="E116" s="12" t="s">
        <v>41</v>
      </c>
      <c r="F116" s="12" t="s">
        <v>16</v>
      </c>
      <c r="G116" s="7" t="n">
        <v>25823</v>
      </c>
    </row>
    <row r="117" customFormat="false" ht="15" hidden="false" customHeight="false" outlineLevel="0" collapsed="false">
      <c r="A117" s="12" t="s">
        <v>46</v>
      </c>
      <c r="B117" s="12" t="s">
        <v>43</v>
      </c>
      <c r="C117" s="12" t="n">
        <v>2026</v>
      </c>
      <c r="D117" s="12" t="n">
        <v>2</v>
      </c>
      <c r="E117" s="12" t="s">
        <v>42</v>
      </c>
      <c r="F117" s="12" t="s">
        <v>18</v>
      </c>
      <c r="G117" s="7" t="n">
        <v>8577</v>
      </c>
    </row>
    <row r="118" customFormat="false" ht="15" hidden="false" customHeight="false" outlineLevel="0" collapsed="false">
      <c r="A118" s="12" t="s">
        <v>46</v>
      </c>
      <c r="B118" s="12" t="s">
        <v>43</v>
      </c>
      <c r="C118" s="12" t="n">
        <v>2026</v>
      </c>
      <c r="D118" s="12" t="n">
        <v>2</v>
      </c>
      <c r="E118" s="12" t="s">
        <v>42</v>
      </c>
      <c r="F118" s="12" t="s">
        <v>24</v>
      </c>
      <c r="G118" s="7" t="n">
        <v>2399</v>
      </c>
    </row>
    <row r="119" customFormat="false" ht="15" hidden="false" customHeight="false" outlineLevel="0" collapsed="false">
      <c r="A119" s="12" t="s">
        <v>46</v>
      </c>
      <c r="B119" s="12" t="s">
        <v>43</v>
      </c>
      <c r="C119" s="12" t="n">
        <v>2026</v>
      </c>
      <c r="D119" s="12" t="n">
        <v>2</v>
      </c>
      <c r="E119" s="12" t="s">
        <v>42</v>
      </c>
      <c r="F119" s="12" t="s">
        <v>22</v>
      </c>
      <c r="G119" s="7" t="n">
        <v>3549</v>
      </c>
    </row>
    <row r="120" customFormat="false" ht="15" hidden="false" customHeight="false" outlineLevel="0" collapsed="false">
      <c r="A120" s="12" t="s">
        <v>46</v>
      </c>
      <c r="B120" s="12" t="s">
        <v>43</v>
      </c>
      <c r="C120" s="12" t="n">
        <v>2026</v>
      </c>
      <c r="D120" s="12" t="n">
        <v>2</v>
      </c>
      <c r="E120" s="12" t="s">
        <v>42</v>
      </c>
      <c r="F120" s="12" t="s">
        <v>20</v>
      </c>
      <c r="G120" s="7" t="n">
        <v>5028</v>
      </c>
    </row>
    <row r="121" customFormat="false" ht="15" hidden="false" customHeight="false" outlineLevel="0" collapsed="false">
      <c r="A121" s="12" t="s">
        <v>46</v>
      </c>
      <c r="B121" s="12" t="s">
        <v>43</v>
      </c>
      <c r="C121" s="12" t="n">
        <v>2026</v>
      </c>
      <c r="D121" s="12" t="n">
        <v>2</v>
      </c>
      <c r="E121" s="12" t="s">
        <v>42</v>
      </c>
      <c r="F121" s="12" t="s">
        <v>16</v>
      </c>
      <c r="G121" s="7" t="n">
        <v>25956</v>
      </c>
    </row>
    <row r="122" customFormat="false" ht="15" hidden="false" customHeight="false" outlineLevel="0" collapsed="false">
      <c r="A122" s="12" t="s">
        <v>46</v>
      </c>
      <c r="B122" s="12" t="s">
        <v>44</v>
      </c>
      <c r="C122" s="12" t="n">
        <v>2026</v>
      </c>
      <c r="D122" s="12" t="n">
        <v>3</v>
      </c>
      <c r="E122" s="12" t="s">
        <v>41</v>
      </c>
      <c r="F122" s="12" t="s">
        <v>18</v>
      </c>
      <c r="G122" s="7" t="n">
        <v>7669.6</v>
      </c>
    </row>
    <row r="123" customFormat="false" ht="15" hidden="false" customHeight="false" outlineLevel="0" collapsed="false">
      <c r="A123" s="12" t="s">
        <v>46</v>
      </c>
      <c r="B123" s="12" t="s">
        <v>44</v>
      </c>
      <c r="C123" s="12" t="n">
        <v>2026</v>
      </c>
      <c r="D123" s="12" t="n">
        <v>3</v>
      </c>
      <c r="E123" s="12" t="s">
        <v>41</v>
      </c>
      <c r="F123" s="12" t="s">
        <v>24</v>
      </c>
      <c r="G123" s="7" t="n">
        <v>1638.1</v>
      </c>
    </row>
    <row r="124" customFormat="false" ht="15" hidden="false" customHeight="false" outlineLevel="0" collapsed="false">
      <c r="A124" s="12" t="s">
        <v>46</v>
      </c>
      <c r="B124" s="12" t="s">
        <v>44</v>
      </c>
      <c r="C124" s="12" t="n">
        <v>2026</v>
      </c>
      <c r="D124" s="12" t="n">
        <v>3</v>
      </c>
      <c r="E124" s="12" t="s">
        <v>41</v>
      </c>
      <c r="F124" s="12" t="s">
        <v>22</v>
      </c>
      <c r="G124" s="7" t="n">
        <v>2569.6</v>
      </c>
    </row>
    <row r="125" customFormat="false" ht="15" hidden="false" customHeight="false" outlineLevel="0" collapsed="false">
      <c r="A125" s="12" t="s">
        <v>46</v>
      </c>
      <c r="B125" s="12" t="s">
        <v>44</v>
      </c>
      <c r="C125" s="12" t="n">
        <v>2026</v>
      </c>
      <c r="D125" s="12" t="n">
        <v>3</v>
      </c>
      <c r="E125" s="12" t="s">
        <v>41</v>
      </c>
      <c r="F125" s="12" t="s">
        <v>20</v>
      </c>
      <c r="G125" s="7" t="n">
        <v>5100</v>
      </c>
    </row>
    <row r="126" customFormat="false" ht="15" hidden="false" customHeight="false" outlineLevel="0" collapsed="false">
      <c r="A126" s="12" t="s">
        <v>46</v>
      </c>
      <c r="B126" s="12" t="s">
        <v>44</v>
      </c>
      <c r="C126" s="12" t="n">
        <v>2026</v>
      </c>
      <c r="D126" s="12" t="n">
        <v>3</v>
      </c>
      <c r="E126" s="12" t="s">
        <v>41</v>
      </c>
      <c r="F126" s="12" t="s">
        <v>16</v>
      </c>
      <c r="G126" s="7" t="n">
        <v>22432.2</v>
      </c>
    </row>
    <row r="127" customFormat="false" ht="15" hidden="false" customHeight="false" outlineLevel="0" collapsed="false">
      <c r="A127" s="12" t="s">
        <v>46</v>
      </c>
      <c r="B127" s="12" t="s">
        <v>44</v>
      </c>
      <c r="C127" s="12" t="n">
        <v>2026</v>
      </c>
      <c r="D127" s="12" t="n">
        <v>3</v>
      </c>
      <c r="E127" s="12" t="s">
        <v>42</v>
      </c>
      <c r="F127" s="12" t="s">
        <v>18</v>
      </c>
      <c r="G127" s="7" t="n">
        <v>7368.3</v>
      </c>
    </row>
    <row r="128" customFormat="false" ht="15" hidden="false" customHeight="false" outlineLevel="0" collapsed="false">
      <c r="A128" s="12" t="s">
        <v>46</v>
      </c>
      <c r="B128" s="12" t="s">
        <v>44</v>
      </c>
      <c r="C128" s="12" t="n">
        <v>2026</v>
      </c>
      <c r="D128" s="12" t="n">
        <v>3</v>
      </c>
      <c r="E128" s="12" t="s">
        <v>42</v>
      </c>
      <c r="F128" s="12" t="s">
        <v>24</v>
      </c>
      <c r="G128" s="7" t="n">
        <v>1540.9</v>
      </c>
    </row>
    <row r="129" customFormat="false" ht="15" hidden="false" customHeight="false" outlineLevel="0" collapsed="false">
      <c r="A129" s="12" t="s">
        <v>46</v>
      </c>
      <c r="B129" s="12" t="s">
        <v>44</v>
      </c>
      <c r="C129" s="12" t="n">
        <v>2026</v>
      </c>
      <c r="D129" s="12" t="n">
        <v>3</v>
      </c>
      <c r="E129" s="12" t="s">
        <v>42</v>
      </c>
      <c r="F129" s="12" t="s">
        <v>22</v>
      </c>
      <c r="G129" s="7" t="n">
        <v>2440.9</v>
      </c>
    </row>
    <row r="130" customFormat="false" ht="15" hidden="false" customHeight="false" outlineLevel="0" collapsed="false">
      <c r="A130" s="12" t="s">
        <v>46</v>
      </c>
      <c r="B130" s="12" t="s">
        <v>44</v>
      </c>
      <c r="C130" s="12" t="n">
        <v>2026</v>
      </c>
      <c r="D130" s="12" t="n">
        <v>3</v>
      </c>
      <c r="E130" s="12" t="s">
        <v>42</v>
      </c>
      <c r="F130" s="12" t="s">
        <v>20</v>
      </c>
      <c r="G130" s="7" t="n">
        <v>4927.4</v>
      </c>
    </row>
    <row r="131" customFormat="false" ht="15" hidden="false" customHeight="false" outlineLevel="0" collapsed="false">
      <c r="A131" s="12" t="s">
        <v>46</v>
      </c>
      <c r="B131" s="12" t="s">
        <v>44</v>
      </c>
      <c r="C131" s="12" t="n">
        <v>2026</v>
      </c>
      <c r="D131" s="12" t="n">
        <v>3</v>
      </c>
      <c r="E131" s="12" t="s">
        <v>42</v>
      </c>
      <c r="F131" s="12" t="s">
        <v>16</v>
      </c>
      <c r="G131" s="7" t="n">
        <v>22024</v>
      </c>
    </row>
    <row r="132" customFormat="false" ht="15" hidden="false" customHeight="false" outlineLevel="0" collapsed="false">
      <c r="A132" s="12" t="s">
        <v>46</v>
      </c>
      <c r="B132" s="12" t="s">
        <v>45</v>
      </c>
      <c r="C132" s="12" t="n">
        <v>2026</v>
      </c>
      <c r="D132" s="12" t="n">
        <v>4</v>
      </c>
      <c r="E132" s="12" t="s">
        <v>41</v>
      </c>
      <c r="F132" s="12" t="s">
        <v>18</v>
      </c>
      <c r="G132" s="7" t="n">
        <v>7200.8</v>
      </c>
    </row>
    <row r="133" customFormat="false" ht="15" hidden="false" customHeight="false" outlineLevel="0" collapsed="false">
      <c r="A133" s="12" t="s">
        <v>46</v>
      </c>
      <c r="B133" s="12" t="s">
        <v>45</v>
      </c>
      <c r="C133" s="12" t="n">
        <v>2026</v>
      </c>
      <c r="D133" s="12" t="n">
        <v>4</v>
      </c>
      <c r="E133" s="12" t="s">
        <v>41</v>
      </c>
      <c r="F133" s="12" t="s">
        <v>24</v>
      </c>
      <c r="G133" s="7" t="n">
        <v>1009.9</v>
      </c>
    </row>
    <row r="134" customFormat="false" ht="15" hidden="false" customHeight="false" outlineLevel="0" collapsed="false">
      <c r="A134" s="12" t="s">
        <v>46</v>
      </c>
      <c r="B134" s="12" t="s">
        <v>45</v>
      </c>
      <c r="C134" s="12" t="n">
        <v>2026</v>
      </c>
      <c r="D134" s="12" t="n">
        <v>4</v>
      </c>
      <c r="E134" s="12" t="s">
        <v>41</v>
      </c>
      <c r="F134" s="12" t="s">
        <v>22</v>
      </c>
      <c r="G134" s="7" t="n">
        <v>1737.6</v>
      </c>
    </row>
    <row r="135" customFormat="false" ht="15" hidden="false" customHeight="false" outlineLevel="0" collapsed="false">
      <c r="A135" s="12" t="s">
        <v>46</v>
      </c>
      <c r="B135" s="12" t="s">
        <v>45</v>
      </c>
      <c r="C135" s="12" t="n">
        <v>2026</v>
      </c>
      <c r="D135" s="12" t="n">
        <v>4</v>
      </c>
      <c r="E135" s="12" t="s">
        <v>41</v>
      </c>
      <c r="F135" s="12" t="s">
        <v>20</v>
      </c>
      <c r="G135" s="7" t="n">
        <v>5463.1</v>
      </c>
    </row>
    <row r="136" customFormat="false" ht="15" hidden="false" customHeight="false" outlineLevel="0" collapsed="false">
      <c r="A136" s="12" t="s">
        <v>46</v>
      </c>
      <c r="B136" s="12" t="s">
        <v>45</v>
      </c>
      <c r="C136" s="12" t="n">
        <v>2026</v>
      </c>
      <c r="D136" s="12" t="n">
        <v>4</v>
      </c>
      <c r="E136" s="12" t="s">
        <v>41</v>
      </c>
      <c r="F136" s="12" t="s">
        <v>16</v>
      </c>
      <c r="G136" s="7" t="n">
        <v>22186.5</v>
      </c>
    </row>
    <row r="137" customFormat="false" ht="15" hidden="false" customHeight="false" outlineLevel="0" collapsed="false">
      <c r="A137" s="12" t="s">
        <v>46</v>
      </c>
      <c r="B137" s="12" t="s">
        <v>45</v>
      </c>
      <c r="C137" s="12" t="n">
        <v>2026</v>
      </c>
      <c r="D137" s="12" t="n">
        <v>4</v>
      </c>
      <c r="E137" s="12" t="s">
        <v>42</v>
      </c>
      <c r="F137" s="12" t="s">
        <v>18</v>
      </c>
      <c r="G137" s="7" t="n">
        <v>6529.8</v>
      </c>
    </row>
    <row r="138" customFormat="false" ht="15" hidden="false" customHeight="false" outlineLevel="0" collapsed="false">
      <c r="A138" s="12" t="s">
        <v>46</v>
      </c>
      <c r="B138" s="12" t="s">
        <v>45</v>
      </c>
      <c r="C138" s="12" t="n">
        <v>2026</v>
      </c>
      <c r="D138" s="12" t="n">
        <v>4</v>
      </c>
      <c r="E138" s="12" t="s">
        <v>42</v>
      </c>
      <c r="F138" s="12" t="s">
        <v>24</v>
      </c>
      <c r="G138" s="7" t="n">
        <v>857.4</v>
      </c>
    </row>
    <row r="139" customFormat="false" ht="15" hidden="false" customHeight="false" outlineLevel="0" collapsed="false">
      <c r="A139" s="12" t="s">
        <v>46</v>
      </c>
      <c r="B139" s="12" t="s">
        <v>45</v>
      </c>
      <c r="C139" s="12" t="n">
        <v>2026</v>
      </c>
      <c r="D139" s="12" t="n">
        <v>4</v>
      </c>
      <c r="E139" s="12" t="s">
        <v>42</v>
      </c>
      <c r="F139" s="12" t="s">
        <v>22</v>
      </c>
      <c r="G139" s="7" t="n">
        <v>1535.6</v>
      </c>
    </row>
    <row r="140" customFormat="false" ht="15" hidden="false" customHeight="false" outlineLevel="0" collapsed="false">
      <c r="A140" s="12" t="s">
        <v>46</v>
      </c>
      <c r="B140" s="12" t="s">
        <v>45</v>
      </c>
      <c r="C140" s="12" t="n">
        <v>2026</v>
      </c>
      <c r="D140" s="12" t="n">
        <v>4</v>
      </c>
      <c r="E140" s="12" t="s">
        <v>42</v>
      </c>
      <c r="F140" s="12" t="s">
        <v>20</v>
      </c>
      <c r="G140" s="7" t="n">
        <v>4994.2</v>
      </c>
    </row>
    <row r="141" customFormat="false" ht="15" hidden="false" customHeight="false" outlineLevel="0" collapsed="false">
      <c r="A141" s="12" t="s">
        <v>46</v>
      </c>
      <c r="B141" s="12" t="s">
        <v>45</v>
      </c>
      <c r="C141" s="12" t="n">
        <v>2026</v>
      </c>
      <c r="D141" s="12" t="n">
        <v>4</v>
      </c>
      <c r="E141" s="12" t="s">
        <v>42</v>
      </c>
      <c r="F141" s="12" t="s">
        <v>16</v>
      </c>
      <c r="G141" s="7" t="n">
        <v>20585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1" t="s">
        <v>28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</row>
    <row r="2" customFormat="false" ht="15" hidden="false" customHeight="false" outlineLevel="0" collapsed="false">
      <c r="A2" s="12" t="s">
        <v>2</v>
      </c>
      <c r="B2" s="12" t="s">
        <v>52</v>
      </c>
      <c r="C2" s="12" t="s">
        <v>53</v>
      </c>
      <c r="D2" s="12" t="s">
        <v>54</v>
      </c>
      <c r="E2" s="12" t="s">
        <v>55</v>
      </c>
      <c r="F2" s="12" t="s">
        <v>56</v>
      </c>
    </row>
    <row r="3" customFormat="false" ht="15" hidden="false" customHeight="false" outlineLevel="0" collapsed="false">
      <c r="A3" s="12" t="s">
        <v>46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1" t="s">
        <v>33</v>
      </c>
      <c r="B1" s="11" t="s">
        <v>62</v>
      </c>
      <c r="C1" s="11" t="s">
        <v>63</v>
      </c>
      <c r="D1" s="11" t="s">
        <v>14</v>
      </c>
    </row>
    <row r="2" customFormat="false" ht="15" hidden="false" customHeight="false" outlineLevel="0" collapsed="false">
      <c r="A2" s="12" t="s">
        <v>16</v>
      </c>
      <c r="B2" s="12" t="s">
        <v>15</v>
      </c>
      <c r="C2" s="12" t="n">
        <v>1</v>
      </c>
      <c r="D2" s="12" t="n">
        <v>1</v>
      </c>
    </row>
    <row r="3" customFormat="false" ht="15" hidden="false" customHeight="false" outlineLevel="0" collapsed="false">
      <c r="A3" s="12" t="s">
        <v>18</v>
      </c>
      <c r="B3" s="12" t="s">
        <v>17</v>
      </c>
      <c r="C3" s="12" t="n">
        <v>2</v>
      </c>
      <c r="D3" s="12" t="n">
        <v>1</v>
      </c>
    </row>
    <row r="4" customFormat="false" ht="15" hidden="false" customHeight="false" outlineLevel="0" collapsed="false">
      <c r="A4" s="12" t="s">
        <v>20</v>
      </c>
      <c r="B4" s="12" t="s">
        <v>19</v>
      </c>
      <c r="C4" s="12" t="n">
        <v>3</v>
      </c>
      <c r="D4" s="12" t="n">
        <v>-1</v>
      </c>
    </row>
    <row r="5" customFormat="false" ht="15" hidden="false" customHeight="false" outlineLevel="0" collapsed="false">
      <c r="A5" s="12" t="s">
        <v>22</v>
      </c>
      <c r="B5" s="12" t="s">
        <v>21</v>
      </c>
      <c r="C5" s="12" t="n">
        <v>4</v>
      </c>
      <c r="D5" s="12" t="n">
        <v>1</v>
      </c>
    </row>
    <row r="6" customFormat="false" ht="15" hidden="false" customHeight="false" outlineLevel="0" collapsed="false">
      <c r="A6" s="12" t="s">
        <v>24</v>
      </c>
      <c r="B6" s="12" t="s">
        <v>23</v>
      </c>
      <c r="C6" s="12" t="n">
        <v>5</v>
      </c>
      <c r="D6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1" t="s">
        <v>29</v>
      </c>
      <c r="B1" s="11" t="s">
        <v>30</v>
      </c>
      <c r="C1" s="11" t="s">
        <v>31</v>
      </c>
      <c r="D1" s="11" t="s">
        <v>64</v>
      </c>
      <c r="E1" s="11" t="s">
        <v>65</v>
      </c>
      <c r="F1" s="11" t="s">
        <v>66</v>
      </c>
    </row>
    <row r="2" customFormat="false" ht="15" hidden="false" customHeight="false" outlineLevel="0" collapsed="false">
      <c r="A2" s="12" t="s">
        <v>35</v>
      </c>
      <c r="B2" s="12" t="n">
        <v>2025</v>
      </c>
      <c r="C2" s="12" t="n">
        <v>1</v>
      </c>
      <c r="D2" s="12" t="s">
        <v>67</v>
      </c>
      <c r="E2" s="12" t="n">
        <v>20251</v>
      </c>
      <c r="F2" s="12" t="s">
        <v>68</v>
      </c>
    </row>
    <row r="3" customFormat="false" ht="15" hidden="false" customHeight="false" outlineLevel="0" collapsed="false">
      <c r="A3" s="12" t="s">
        <v>37</v>
      </c>
      <c r="B3" s="12" t="n">
        <v>2025</v>
      </c>
      <c r="C3" s="12" t="n">
        <v>2</v>
      </c>
      <c r="D3" s="12" t="s">
        <v>69</v>
      </c>
      <c r="E3" s="12" t="n">
        <v>20252</v>
      </c>
      <c r="F3" s="12" t="s">
        <v>68</v>
      </c>
    </row>
    <row r="4" customFormat="false" ht="15" hidden="false" customHeight="false" outlineLevel="0" collapsed="false">
      <c r="A4" s="12" t="s">
        <v>38</v>
      </c>
      <c r="B4" s="12" t="n">
        <v>2025</v>
      </c>
      <c r="C4" s="12" t="n">
        <v>3</v>
      </c>
      <c r="D4" s="12" t="s">
        <v>70</v>
      </c>
      <c r="E4" s="12" t="n">
        <v>20253</v>
      </c>
      <c r="F4" s="12" t="s">
        <v>68</v>
      </c>
    </row>
    <row r="5" customFormat="false" ht="15" hidden="false" customHeight="false" outlineLevel="0" collapsed="false">
      <c r="A5" s="12" t="s">
        <v>39</v>
      </c>
      <c r="B5" s="12" t="n">
        <v>2025</v>
      </c>
      <c r="C5" s="12" t="n">
        <v>4</v>
      </c>
      <c r="D5" s="12" t="s">
        <v>71</v>
      </c>
      <c r="E5" s="12" t="n">
        <v>20254</v>
      </c>
      <c r="F5" s="12" t="s">
        <v>68</v>
      </c>
    </row>
    <row r="6" customFormat="false" ht="15" hidden="false" customHeight="false" outlineLevel="0" collapsed="false">
      <c r="A6" s="12" t="s">
        <v>40</v>
      </c>
      <c r="B6" s="12" t="n">
        <v>2026</v>
      </c>
      <c r="C6" s="12" t="n">
        <v>1</v>
      </c>
      <c r="D6" s="12" t="s">
        <v>67</v>
      </c>
      <c r="E6" s="12" t="n">
        <v>20261</v>
      </c>
      <c r="F6" s="12" t="s">
        <v>36</v>
      </c>
    </row>
    <row r="7" customFormat="false" ht="15" hidden="false" customHeight="false" outlineLevel="0" collapsed="false">
      <c r="A7" s="12" t="s">
        <v>43</v>
      </c>
      <c r="B7" s="12" t="n">
        <v>2026</v>
      </c>
      <c r="C7" s="12" t="n">
        <v>2</v>
      </c>
      <c r="D7" s="12" t="s">
        <v>69</v>
      </c>
      <c r="E7" s="12" t="n">
        <v>20262</v>
      </c>
      <c r="F7" s="12" t="s">
        <v>36</v>
      </c>
    </row>
    <row r="8" customFormat="false" ht="15" hidden="false" customHeight="false" outlineLevel="0" collapsed="false">
      <c r="A8" s="12" t="s">
        <v>44</v>
      </c>
      <c r="B8" s="12" t="n">
        <v>2026</v>
      </c>
      <c r="C8" s="12" t="n">
        <v>3</v>
      </c>
      <c r="D8" s="12" t="s">
        <v>70</v>
      </c>
      <c r="E8" s="12" t="n">
        <v>20263</v>
      </c>
      <c r="F8" s="12" t="s">
        <v>42</v>
      </c>
    </row>
    <row r="9" customFormat="false" ht="15" hidden="false" customHeight="false" outlineLevel="0" collapsed="false">
      <c r="A9" s="12" t="s">
        <v>45</v>
      </c>
      <c r="B9" s="12" t="n">
        <v>2026</v>
      </c>
      <c r="C9" s="12" t="n">
        <v>4</v>
      </c>
      <c r="D9" s="12" t="s">
        <v>71</v>
      </c>
      <c r="E9" s="12" t="n">
        <v>20264</v>
      </c>
      <c r="F9" s="1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1" t="s">
        <v>32</v>
      </c>
      <c r="B1" s="11" t="s">
        <v>72</v>
      </c>
    </row>
    <row r="2" customFormat="false" ht="15" hidden="false" customHeight="false" outlineLevel="0" collapsed="false">
      <c r="A2" s="12" t="s">
        <v>36</v>
      </c>
      <c r="B2" s="12" t="n">
        <v>1</v>
      </c>
    </row>
    <row r="3" customFormat="false" ht="15" hidden="false" customHeight="false" outlineLevel="0" collapsed="false">
      <c r="A3" s="12" t="s">
        <v>41</v>
      </c>
      <c r="B3" s="12" t="n">
        <v>2</v>
      </c>
    </row>
    <row r="4" customFormat="false" ht="15" hidden="false" customHeight="false" outlineLevel="0" collapsed="false">
      <c r="A4" s="12" t="s">
        <v>42</v>
      </c>
      <c r="B4" s="1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0"/>
  </cols>
  <sheetData>
    <row r="1" customFormat="false" ht="15" hidden="false" customHeight="false" outlineLevel="0" collapsed="false">
      <c r="A1" s="11" t="s">
        <v>28</v>
      </c>
      <c r="B1" s="11" t="s">
        <v>73</v>
      </c>
      <c r="C1" s="11" t="s">
        <v>74</v>
      </c>
      <c r="D1" s="11" t="s">
        <v>62</v>
      </c>
      <c r="E1" s="11" t="s">
        <v>75</v>
      </c>
      <c r="F1" s="11" t="s">
        <v>76</v>
      </c>
      <c r="G1" s="11" t="s">
        <v>77</v>
      </c>
    </row>
    <row r="2" customFormat="false" ht="52.2" hidden="false" customHeight="false" outlineLevel="0" collapsed="false">
      <c r="A2" s="12" t="s">
        <v>2</v>
      </c>
      <c r="B2" s="12" t="n">
        <v>1</v>
      </c>
      <c r="C2" s="12" t="s">
        <v>78</v>
      </c>
      <c r="D2" s="12" t="s">
        <v>15</v>
      </c>
      <c r="E2" s="12" t="s">
        <v>43</v>
      </c>
      <c r="F2" s="7" t="n">
        <v>999</v>
      </c>
      <c r="G2" s="13" t="s">
        <v>79</v>
      </c>
    </row>
    <row r="3" customFormat="false" ht="64.9" hidden="false" customHeight="false" outlineLevel="0" collapsed="false">
      <c r="A3" s="12" t="s">
        <v>2</v>
      </c>
      <c r="B3" s="12" t="n">
        <v>2</v>
      </c>
      <c r="C3" s="12" t="s">
        <v>80</v>
      </c>
      <c r="D3" s="12" t="s">
        <v>19</v>
      </c>
      <c r="E3" s="12" t="s">
        <v>81</v>
      </c>
      <c r="F3" s="7" t="n">
        <v>-616</v>
      </c>
      <c r="G3" s="13" t="s">
        <v>82</v>
      </c>
    </row>
    <row r="4" customFormat="false" ht="26.85" hidden="false" customHeight="false" outlineLevel="0" collapsed="false">
      <c r="A4" s="12" t="s">
        <v>2</v>
      </c>
      <c r="B4" s="12" t="n">
        <v>3</v>
      </c>
      <c r="C4" s="12" t="s">
        <v>80</v>
      </c>
      <c r="D4" s="12" t="s">
        <v>15</v>
      </c>
      <c r="E4" s="12" t="s">
        <v>45</v>
      </c>
      <c r="F4" s="7" t="n">
        <v>-955</v>
      </c>
      <c r="G4" s="13" t="s">
        <v>83</v>
      </c>
    </row>
    <row r="5" customFormat="false" ht="26.85" hidden="false" customHeight="false" outlineLevel="0" collapsed="false">
      <c r="A5" s="12" t="s">
        <v>46</v>
      </c>
      <c r="B5" s="12" t="n">
        <v>1</v>
      </c>
      <c r="C5" s="12" t="s">
        <v>78</v>
      </c>
      <c r="D5" s="12" t="s">
        <v>15</v>
      </c>
      <c r="E5" s="12" t="s">
        <v>40</v>
      </c>
      <c r="F5" s="7" t="n">
        <v>520</v>
      </c>
      <c r="G5" s="13" t="s">
        <v>84</v>
      </c>
    </row>
    <row r="6" customFormat="false" ht="52.2" hidden="false" customHeight="false" outlineLevel="0" collapsed="false">
      <c r="A6" s="12" t="s">
        <v>46</v>
      </c>
      <c r="B6" s="12" t="n">
        <v>2</v>
      </c>
      <c r="C6" s="12" t="s">
        <v>80</v>
      </c>
      <c r="D6" s="12" t="s">
        <v>15</v>
      </c>
      <c r="E6" s="12" t="s">
        <v>45</v>
      </c>
      <c r="F6" s="7" t="n">
        <v>-1601</v>
      </c>
      <c r="G6" s="13" t="s">
        <v>85</v>
      </c>
    </row>
    <row r="7" customFormat="false" ht="52.2" hidden="false" customHeight="false" outlineLevel="0" collapsed="false">
      <c r="A7" s="12" t="s">
        <v>46</v>
      </c>
      <c r="B7" s="12" t="n">
        <v>3</v>
      </c>
      <c r="C7" s="12" t="s">
        <v>80</v>
      </c>
      <c r="D7" s="12" t="s">
        <v>17</v>
      </c>
      <c r="E7" s="12" t="s">
        <v>43</v>
      </c>
      <c r="F7" s="7" t="n">
        <v>-154</v>
      </c>
      <c r="G7" s="1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1" t="s">
        <v>87</v>
      </c>
      <c r="B1" s="11" t="s">
        <v>2</v>
      </c>
      <c r="C1" s="11" t="s">
        <v>46</v>
      </c>
      <c r="D1" s="11" t="s">
        <v>88</v>
      </c>
    </row>
    <row r="2" customFormat="false" ht="15" hidden="false" customHeight="false" outlineLevel="0" collapsed="false">
      <c r="A2" s="12" t="s">
        <v>89</v>
      </c>
      <c r="B2" s="12" t="s">
        <v>90</v>
      </c>
      <c r="C2" s="12" t="s">
        <v>91</v>
      </c>
      <c r="D2" s="12" t="s">
        <v>92</v>
      </c>
    </row>
    <row r="3" customFormat="false" ht="15" hidden="false" customHeight="false" outlineLevel="0" collapsed="false">
      <c r="A3" s="12" t="s">
        <v>93</v>
      </c>
      <c r="B3" s="12" t="s">
        <v>94</v>
      </c>
      <c r="C3" s="12" t="s">
        <v>95</v>
      </c>
      <c r="D3" s="12" t="s">
        <v>96</v>
      </c>
    </row>
    <row r="4" customFormat="false" ht="15" hidden="false" customHeight="false" outlineLevel="0" collapsed="false">
      <c r="A4" s="12" t="s">
        <v>97</v>
      </c>
      <c r="B4" s="12" t="s">
        <v>98</v>
      </c>
      <c r="C4" s="12" t="s">
        <v>99</v>
      </c>
      <c r="D4" s="12" t="s">
        <v>100</v>
      </c>
    </row>
    <row r="5" customFormat="false" ht="15" hidden="false" customHeight="false" outlineLevel="0" collapsed="false">
      <c r="A5" s="12" t="s">
        <v>101</v>
      </c>
      <c r="B5" s="12" t="s">
        <v>102</v>
      </c>
      <c r="C5" s="12" t="s">
        <v>103</v>
      </c>
      <c r="D5" s="12" t="s">
        <v>100</v>
      </c>
    </row>
    <row r="6" customFormat="false" ht="15" hidden="false" customHeight="false" outlineLevel="0" collapsed="false">
      <c r="A6" s="12" t="s">
        <v>104</v>
      </c>
      <c r="B6" s="12" t="s">
        <v>105</v>
      </c>
      <c r="C6" s="12" t="s">
        <v>106</v>
      </c>
      <c r="D6" s="12" t="s">
        <v>100</v>
      </c>
    </row>
    <row r="7" customFormat="false" ht="15" hidden="false" customHeight="false" outlineLevel="0" collapsed="false">
      <c r="A7" s="12" t="s">
        <v>107</v>
      </c>
      <c r="B7" s="12" t="s">
        <v>108</v>
      </c>
      <c r="C7" s="12" t="s">
        <v>108</v>
      </c>
      <c r="D7" s="12" t="s">
        <v>109</v>
      </c>
    </row>
    <row r="8" customFormat="false" ht="15" hidden="false" customHeight="false" outlineLevel="0" collapsed="false">
      <c r="A8" s="12" t="s">
        <v>110</v>
      </c>
      <c r="B8" s="12" t="s">
        <v>111</v>
      </c>
      <c r="C8" s="12" t="s">
        <v>112</v>
      </c>
      <c r="D8" s="12" t="s">
        <v>113</v>
      </c>
    </row>
    <row r="9" customFormat="false" ht="15" hidden="false" customHeight="false" outlineLevel="0" collapsed="false">
      <c r="A9" s="12" t="s">
        <v>114</v>
      </c>
      <c r="B9" s="12" t="s">
        <v>115</v>
      </c>
      <c r="C9" s="12" t="s">
        <v>116</v>
      </c>
      <c r="D9" s="12" t="s">
        <v>117</v>
      </c>
    </row>
    <row r="10" customFormat="false" ht="15" hidden="false" customHeight="false" outlineLevel="0" collapsed="false">
      <c r="A10" s="12" t="s">
        <v>118</v>
      </c>
      <c r="B10" s="12" t="s">
        <v>119</v>
      </c>
      <c r="C10" s="12" t="s">
        <v>119</v>
      </c>
      <c r="D10" s="12" t="s">
        <v>120</v>
      </c>
    </row>
    <row r="11" customFormat="false" ht="15" hidden="false" customHeight="false" outlineLevel="0" collapsed="false">
      <c r="A11" s="12" t="s">
        <v>121</v>
      </c>
      <c r="B11" s="12" t="s">
        <v>122</v>
      </c>
      <c r="C11" s="12" t="s">
        <v>122</v>
      </c>
      <c r="D11" s="1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1" t="s">
        <v>124</v>
      </c>
      <c r="B1" s="11" t="s">
        <v>28</v>
      </c>
      <c r="C1" s="11" t="s">
        <v>125</v>
      </c>
    </row>
    <row r="2" customFormat="false" ht="15" hidden="false" customHeight="false" outlineLevel="0" collapsed="false">
      <c r="A2" s="12" t="s">
        <v>126</v>
      </c>
      <c r="B2" s="12" t="s">
        <v>2</v>
      </c>
      <c r="C2" s="14" t="b">
        <f aca="false">TRUE()</f>
        <v>1</v>
      </c>
    </row>
    <row r="3" customFormat="false" ht="15" hidden="false" customHeight="false" outlineLevel="0" collapsed="false">
      <c r="A3" s="12" t="s">
        <v>126</v>
      </c>
      <c r="B3" s="12" t="s">
        <v>46</v>
      </c>
      <c r="C3" s="14" t="b">
        <f aca="false">TRUE()</f>
        <v>1</v>
      </c>
    </row>
    <row r="4" customFormat="false" ht="15" hidden="false" customHeight="false" outlineLevel="0" collapsed="false">
      <c r="A4" s="12" t="s">
        <v>127</v>
      </c>
      <c r="B4" s="12" t="s">
        <v>2</v>
      </c>
      <c r="C4" s="14" t="b">
        <f aca="false">TRUE()</f>
        <v>1</v>
      </c>
    </row>
    <row r="5" customFormat="false" ht="15" hidden="false" customHeight="false" outlineLevel="0" collapsed="false">
      <c r="A5" s="12" t="s">
        <v>127</v>
      </c>
      <c r="B5" s="12" t="s">
        <v>46</v>
      </c>
      <c r="C5" s="14" t="b">
        <f aca="false">TRUE()</f>
        <v>1</v>
      </c>
    </row>
    <row r="6" customFormat="false" ht="15" hidden="false" customHeight="false" outlineLevel="0" collapsed="false">
      <c r="A6" s="12" t="s">
        <v>128</v>
      </c>
      <c r="B6" s="12" t="s">
        <v>2</v>
      </c>
      <c r="C6" s="14" t="b">
        <f aca="false">TRUE()</f>
        <v>1</v>
      </c>
    </row>
    <row r="7" customFormat="false" ht="15" hidden="false" customHeight="false" outlineLevel="0" collapsed="false">
      <c r="A7" s="12" t="s">
        <v>128</v>
      </c>
      <c r="B7" s="12" t="s">
        <v>46</v>
      </c>
      <c r="C7" s="14" t="b">
        <f aca="false">TRUE()</f>
        <v>1</v>
      </c>
    </row>
    <row r="8" customFormat="false" ht="15" hidden="false" customHeight="false" outlineLevel="0" collapsed="false">
      <c r="A8" s="12" t="s">
        <v>129</v>
      </c>
      <c r="B8" s="12" t="s">
        <v>2</v>
      </c>
      <c r="C8" s="14" t="b">
        <f aca="false">TRUE()</f>
        <v>1</v>
      </c>
    </row>
    <row r="9" customFormat="false" ht="15" hidden="false" customHeight="false" outlineLevel="0" collapsed="false">
      <c r="A9" s="12" t="s">
        <v>129</v>
      </c>
      <c r="B9" s="12" t="s">
        <v>46</v>
      </c>
      <c r="C9" s="14" t="b">
        <f aca="false">TRUE()</f>
        <v>1</v>
      </c>
    </row>
    <row r="10" customFormat="false" ht="15" hidden="false" customHeight="false" outlineLevel="0" collapsed="false">
      <c r="A10" s="12" t="s">
        <v>130</v>
      </c>
      <c r="B10" s="12" t="s">
        <v>2</v>
      </c>
      <c r="C10" s="14" t="b">
        <f aca="false">TRUE()</f>
        <v>1</v>
      </c>
    </row>
    <row r="11" customFormat="false" ht="15" hidden="false" customHeight="false" outlineLevel="0" collapsed="false">
      <c r="A11" s="12" t="s">
        <v>130</v>
      </c>
      <c r="B11" s="12" t="s">
        <v>46</v>
      </c>
      <c r="C11" s="14" t="b">
        <f aca="false">TRUE()</f>
        <v>1</v>
      </c>
    </row>
    <row r="12" customFormat="false" ht="15" hidden="false" customHeight="false" outlineLevel="0" collapsed="false">
      <c r="A12" s="12" t="s">
        <v>131</v>
      </c>
      <c r="B12" s="12" t="s">
        <v>2</v>
      </c>
      <c r="C12" s="14" t="b">
        <f aca="false">TRUE()</f>
        <v>1</v>
      </c>
    </row>
    <row r="13" customFormat="false" ht="15" hidden="false" customHeight="false" outlineLevel="0" collapsed="false">
      <c r="A13" s="12" t="s">
        <v>131</v>
      </c>
      <c r="B13" s="12" t="s">
        <v>46</v>
      </c>
      <c r="C13" s="1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2026-09-22T02:20:18Z</dcterms:created>
  <dc:creator>openpyxl</dc:creator>
  <dc:description/>
  <dc:language>en-US</dc:language>
  <cp:lastModifiedBy/>
  <dcterms:modified xsi:type="dcterms:W3CDTF">2026-09-22T02:20:18Z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